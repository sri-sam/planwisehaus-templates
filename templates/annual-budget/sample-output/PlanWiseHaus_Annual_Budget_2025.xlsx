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  <sheet name="BANK ACCOUNTS" sheetId="3" state="visible" r:id="rId3"/>
    <sheet name="RECURRING" sheetId="4" state="visible" r:id="rId4"/>
    <sheet name="PAYMENTS" sheetId="5" state="visible" r:id="rId5"/>
    <sheet name="VARIABLE" sheetId="6" state="visible" r:id="rId6"/>
    <sheet name="DASHBOARD" sheetId="7" state="visible" r:id="rId7"/>
    <sheet name="ANNUAL TOTALS" sheetId="8" state="visible" r:id="rId8"/>
    <sheet name="CALENDAR" sheetId="9" state="visible" r:id="rId9"/>
    <sheet name="PAYCHECK" sheetId="10" state="visible" r:id="rId10"/>
    <sheet name="JANUARY" sheetId="11" state="visible" r:id="rId11"/>
    <sheet name="FEBRUARY" sheetId="12" state="visible" r:id="rId12"/>
    <sheet name="MARCH" sheetId="13" state="visible" r:id="rId13"/>
    <sheet name="APRIL" sheetId="14" state="visible" r:id="rId14"/>
    <sheet name="MAY" sheetId="15" state="visible" r:id="rId15"/>
    <sheet name="JUNE" sheetId="16" state="visible" r:id="rId16"/>
    <sheet name="JULY" sheetId="17" state="visible" r:id="rId17"/>
    <sheet name="AUGUST" sheetId="18" state="visible" r:id="rId18"/>
    <sheet name="SEPTEMBER" sheetId="19" state="visible" r:id="rId19"/>
    <sheet name="OCTOBER" sheetId="20" state="visible" r:id="rId20"/>
    <sheet name="NOVEMBER" sheetId="21" state="visible" r:id="rId21"/>
    <sheet name="DECEMBER" sheetId="22" state="visible" r:id="rId22"/>
    <sheet name="50-30-20" sheetId="23" state="visible" r:id="rId23"/>
    <sheet name="EXPENSE DIST" sheetId="24" state="visible" r:id="rId24"/>
    <sheet name="SINKING FUNDS" sheetId="25" state="visible" r:id="rId25"/>
    <sheet name="DEBT CALC" sheetId="26" state="visible" r:id="rId26"/>
    <sheet name="NET WORTH" sheetId="27" state="visible" r:id="rId27"/>
    <sheet name="INVEST FORECAST" sheetId="28" state="visible" r:id="rId28"/>
    <sheet name="NO-SPEND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.00"/>
    <numFmt numFmtId="166" formatCode="MM/DD/YYYY"/>
    <numFmt numFmtId="167" formatCode="0.0%"/>
    <numFmt numFmtId="168" formatCode="MM/YYYY"/>
    <numFmt numFmtId="169" formatCode="&quot;$&quot;+#,##0;[Red]&quot;$&quot;(#,##0)"/>
  </numFmts>
  <fonts count="17">
    <font>
      <name val="Calibri"/>
      <family val="2"/>
      <color theme="1"/>
      <sz val="11"/>
      <scheme val="minor"/>
    </font>
    <font>
      <name val="Calibri"/>
      <b val="1"/>
      <color rgb="002C5F5A"/>
      <sz val="22"/>
    </font>
    <font>
      <name val="Calibri"/>
      <i val="1"/>
      <color rgb="00777777"/>
      <sz val="10"/>
    </font>
    <font>
      <name val="Calibri"/>
      <b val="1"/>
      <color rgb="00FFFFFF"/>
      <sz val="10"/>
    </font>
    <font>
      <name val="Calibri"/>
      <b val="1"/>
      <color rgb="002C5F5A"/>
      <sz val="9"/>
    </font>
    <font>
      <name val="Calibri"/>
      <color rgb="00333333"/>
      <sz val="10"/>
    </font>
    <font>
      <name val="Calibri"/>
      <color rgb="00888888"/>
      <sz val="8"/>
    </font>
    <font>
      <name val="Calibri"/>
      <b val="1"/>
      <color rgb="002C5F5A"/>
      <sz val="10"/>
    </font>
    <font>
      <name val="Calibri"/>
      <color rgb="002C5F5A"/>
      <sz val="9"/>
      <u val="single"/>
    </font>
    <font>
      <name val="Calibri"/>
      <b val="1"/>
      <color rgb="00FFFFFF"/>
      <sz val="9"/>
    </font>
    <font>
      <name val="Calibri"/>
      <b val="1"/>
      <color rgb="00999999"/>
      <sz val="7"/>
    </font>
    <font>
      <name val="Calibri"/>
      <color rgb="00444444"/>
      <sz val="11"/>
    </font>
    <font>
      <name val="Calibri"/>
      <color rgb="00444444"/>
      <sz val="10"/>
    </font>
    <font>
      <name val="Calibri"/>
      <b val="1"/>
      <color rgb="002C5F5A"/>
      <sz val="11"/>
    </font>
    <font>
      <name val="Calibri"/>
      <b val="1"/>
      <color rgb="002C5F5A"/>
      <sz val="12"/>
    </font>
    <font>
      <name val="Calibri"/>
      <b val="1"/>
      <color rgb="002C5F5A"/>
      <sz val="14"/>
    </font>
    <font>
      <name val="Calibri"/>
      <color rgb="002C5F5A"/>
      <sz val="9"/>
    </font>
  </fonts>
  <fills count="13">
    <fill>
      <patternFill/>
    </fill>
    <fill>
      <patternFill patternType="gray125"/>
    </fill>
    <fill>
      <patternFill patternType="solid">
        <fgColor rgb="002C5F5A"/>
      </patternFill>
    </fill>
    <fill>
      <patternFill patternType="solid">
        <fgColor rgb="00E0F0EE"/>
      </patternFill>
    </fill>
    <fill>
      <patternFill patternType="solid">
        <fgColor rgb="00FFFFFF"/>
      </patternFill>
    </fill>
    <fill>
      <patternFill patternType="solid">
        <fgColor rgb="00F0FAF8"/>
      </patternFill>
    </fill>
    <fill>
      <patternFill patternType="solid">
        <fgColor rgb="00F5F2EC"/>
      </patternFill>
    </fill>
    <fill>
      <patternFill patternType="solid">
        <fgColor rgb="003D8A85"/>
      </patternFill>
    </fill>
    <fill>
      <patternFill patternType="solid">
        <fgColor rgb="00FFFDE8"/>
      </patternFill>
    </fill>
    <fill>
      <patternFill patternType="solid">
        <fgColor rgb="00EDEAE2"/>
      </patternFill>
    </fill>
    <fill>
      <patternFill patternType="solid">
        <fgColor rgb="00C9A845"/>
      </patternFill>
    </fill>
    <fill>
      <patternFill patternType="solid">
        <fgColor rgb="002E7D52"/>
      </patternFill>
    </fill>
    <fill>
      <patternFill patternType="solid">
        <fgColor rgb="00C0392B"/>
      </patternFill>
    </fill>
  </fills>
  <borders count="8">
    <border>
      <left/>
      <right/>
      <top/>
      <bottom/>
      <diagonal/>
    </border>
    <border/>
    <border>
      <bottom style="medium">
        <color rgb="003D8A85"/>
      </bottom>
    </border>
    <border>
      <bottom style="thin">
        <color rgb="00DDD9D0"/>
      </bottom>
    </border>
    <border>
      <top style="medium">
        <color rgb="003D8A85"/>
      </top>
      <bottom style="double">
        <color rgb="002C5F5A"/>
      </bottom>
    </border>
    <border>
      <bottom style="thin">
        <color rgb="00C9A845"/>
      </bottom>
    </border>
    <border>
      <left style="thin">
        <color rgb="00DDD9D0"/>
      </left>
      <right style="thin">
        <color rgb="00DDD9D0"/>
      </right>
      <bottom style="thin">
        <color rgb="00DDD9D0"/>
      </bottom>
    </border>
    <border>
      <left style="thin">
        <color rgb="00DDD9D0"/>
      </left>
      <right style="thin">
        <color rgb="00DDD9D0"/>
      </right>
      <top style="thin">
        <color rgb="00DDD9D0"/>
      </top>
      <bottom style="thin">
        <color rgb="00DDD9D0"/>
      </bottom>
    </border>
  </borders>
  <cellStyleXfs count="14">
    <xf numFmtId="0" fontId="0" fillId="0" borderId="0"/>
    <xf numFmtId="0" fontId="1" fillId="0" borderId="1" applyAlignment="1">
      <alignment vertical="center"/>
    </xf>
    <xf numFmtId="0" fontId="2" fillId="0" borderId="1" applyAlignment="1">
      <alignment vertical="center"/>
    </xf>
    <xf numFmtId="0" fontId="3" fillId="2" borderId="1" applyAlignment="1">
      <alignment horizontal="left" vertical="center" indent="1"/>
    </xf>
    <xf numFmtId="0" fontId="4" fillId="3" borderId="2" applyAlignment="1">
      <alignment horizontal="center" vertical="center"/>
    </xf>
    <xf numFmtId="0" fontId="5" fillId="4" borderId="3" applyAlignment="1">
      <alignment vertical="center"/>
    </xf>
    <xf numFmtId="0" fontId="5" fillId="5" borderId="3" applyAlignment="1">
      <alignment vertical="center"/>
    </xf>
    <xf numFmtId="0" fontId="1" fillId="3" borderId="1" applyAlignment="1">
      <alignment horizontal="center" vertical="center"/>
    </xf>
    <xf numFmtId="0" fontId="6" fillId="3" borderId="1" applyAlignment="1">
      <alignment horizontal="center" vertical="center"/>
    </xf>
    <xf numFmtId="0" fontId="7" fillId="3" borderId="4"/>
    <xf numFmtId="0" fontId="8" fillId="6" borderId="1" applyAlignment="1">
      <alignment vertical="center"/>
    </xf>
    <xf numFmtId="0" fontId="9" fillId="7" borderId="1" applyAlignment="1">
      <alignment vertical="center"/>
    </xf>
    <xf numFmtId="0" fontId="10" fillId="6" borderId="1" applyAlignment="1">
      <alignment vertical="center"/>
    </xf>
    <xf numFmtId="0" fontId="5" fillId="8" borderId="5" applyAlignment="1">
      <alignment vertical="center"/>
    </xf>
  </cellStyleXfs>
  <cellXfs count="66">
    <xf numFmtId="0" fontId="0" fillId="0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7" fillId="6" borderId="0" applyAlignment="1" pivotButton="0" quotePrefix="0" xfId="0">
      <alignment vertical="center"/>
    </xf>
    <xf numFmtId="0" fontId="0" fillId="9" borderId="0" pivotButton="0" quotePrefix="0" xfId="0"/>
    <xf numFmtId="0" fontId="1" fillId="0" borderId="1" applyAlignment="1" pivotButton="0" quotePrefix="0" xfId="1">
      <alignment vertical="center"/>
    </xf>
    <xf numFmtId="0" fontId="2" fillId="0" borderId="1" applyAlignment="1" pivotButton="0" quotePrefix="0" xfId="2">
      <alignment vertical="center"/>
    </xf>
    <xf numFmtId="0" fontId="10" fillId="6" borderId="1" applyAlignment="1" pivotButton="0" quotePrefix="0" xfId="12">
      <alignment vertical="center"/>
    </xf>
    <xf numFmtId="0" fontId="3" fillId="2" borderId="1" applyAlignment="1" pivotButton="0" quotePrefix="0" xfId="3">
      <alignment horizontal="left" vertical="center" indent="1"/>
    </xf>
    <xf numFmtId="0" fontId="9" fillId="7" borderId="1" applyAlignment="1" pivotButton="0" quotePrefix="0" xfId="11">
      <alignment vertical="center"/>
    </xf>
    <xf numFmtId="0" fontId="11" fillId="4" borderId="0" applyAlignment="1" pivotButton="0" quotePrefix="0" xfId="0">
      <alignment vertical="center" wrapText="1"/>
    </xf>
    <xf numFmtId="0" fontId="8" fillId="6" borderId="1" applyAlignment="1" pivotButton="0" quotePrefix="0" xfId="10">
      <alignment vertical="center"/>
    </xf>
    <xf numFmtId="0" fontId="7" fillId="4" borderId="0" pivotButton="0" quotePrefix="0" xfId="0"/>
    <xf numFmtId="0" fontId="12" fillId="4" borderId="0" pivotButton="0" quotePrefix="0" xfId="0"/>
    <xf numFmtId="0" fontId="0" fillId="2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5" fillId="8" borderId="5" applyAlignment="1" pivotButton="0" quotePrefix="0" xfId="13">
      <alignment vertical="center"/>
    </xf>
    <xf numFmtId="164" fontId="5" fillId="8" borderId="5" applyAlignment="1" pivotButton="0" quotePrefix="0" xfId="13">
      <alignment vertical="center"/>
    </xf>
    <xf numFmtId="0" fontId="4" fillId="3" borderId="2" applyAlignment="1" pivotButton="0" quotePrefix="0" xfId="4">
      <alignment horizontal="center" vertical="center"/>
    </xf>
    <xf numFmtId="0" fontId="5" fillId="4" borderId="3" applyAlignment="1" pivotButton="0" quotePrefix="0" xfId="5">
      <alignment vertical="center"/>
    </xf>
    <xf numFmtId="164" fontId="5" fillId="4" borderId="3" applyAlignment="1" pivotButton="0" quotePrefix="0" xfId="5">
      <alignment horizontal="right" vertical="center"/>
    </xf>
    <xf numFmtId="164" fontId="5" fillId="4" borderId="3" applyAlignment="1" pivotButton="0" quotePrefix="0" xfId="5">
      <alignment vertical="center"/>
    </xf>
    <xf numFmtId="0" fontId="5" fillId="5" borderId="3" applyAlignment="1" pivotButton="0" quotePrefix="0" xfId="6">
      <alignment vertical="center"/>
    </xf>
    <xf numFmtId="164" fontId="5" fillId="5" borderId="3" applyAlignment="1" pivotButton="0" quotePrefix="0" xfId="6">
      <alignment horizontal="right" vertical="center"/>
    </xf>
    <xf numFmtId="164" fontId="5" fillId="5" borderId="3" applyAlignment="1" pivotButton="0" quotePrefix="0" xfId="6">
      <alignment vertical="center"/>
    </xf>
    <xf numFmtId="0" fontId="7" fillId="3" borderId="4" pivotButton="0" quotePrefix="0" xfId="9"/>
    <xf numFmtId="164" fontId="7" fillId="3" borderId="4" pivotButton="0" quotePrefix="0" xfId="9"/>
    <xf numFmtId="165" fontId="5" fillId="5" borderId="3" applyAlignment="1" pivotButton="0" quotePrefix="0" xfId="6">
      <alignment horizontal="right" vertical="center"/>
    </xf>
    <xf numFmtId="165" fontId="5" fillId="5" borderId="3" applyAlignment="1" pivotButton="0" quotePrefix="0" xfId="6">
      <alignment vertical="center"/>
    </xf>
    <xf numFmtId="165" fontId="5" fillId="4" borderId="3" applyAlignment="1" pivotButton="0" quotePrefix="0" xfId="5">
      <alignment horizontal="right" vertical="center"/>
    </xf>
    <xf numFmtId="165" fontId="5" fillId="4" borderId="3" applyAlignment="1" pivotButton="0" quotePrefix="0" xfId="5">
      <alignment vertical="center"/>
    </xf>
    <xf numFmtId="0" fontId="7" fillId="3" borderId="0" pivotButton="0" quotePrefix="0" xfId="0"/>
    <xf numFmtId="165" fontId="13" fillId="3" borderId="0" pivotButton="0" quotePrefix="0" xfId="0"/>
    <xf numFmtId="0" fontId="5" fillId="5" borderId="3" applyAlignment="1" pivotButton="0" quotePrefix="0" xfId="6">
      <alignment horizontal="right" vertical="center"/>
    </xf>
    <xf numFmtId="0" fontId="5" fillId="4" borderId="3" applyAlignment="1" pivotButton="0" quotePrefix="0" xfId="5">
      <alignment horizontal="right" vertical="center"/>
    </xf>
    <xf numFmtId="165" fontId="7" fillId="3" borderId="4" pivotButton="0" quotePrefix="0" xfId="9"/>
    <xf numFmtId="166" fontId="5" fillId="5" borderId="3" applyAlignment="1" pivotButton="0" quotePrefix="0" xfId="6">
      <alignment vertical="center"/>
    </xf>
    <xf numFmtId="166" fontId="5" fillId="4" borderId="3" applyAlignment="1" pivotButton="0" quotePrefix="0" xfId="5">
      <alignment vertical="center"/>
    </xf>
    <xf numFmtId="164" fontId="1" fillId="3" borderId="6" applyAlignment="1" pivotButton="0" quotePrefix="0" xfId="7">
      <alignment horizontal="center" vertical="center"/>
    </xf>
    <xf numFmtId="0" fontId="0" fillId="0" borderId="6" pivotButton="0" quotePrefix="0" xfId="0"/>
    <xf numFmtId="0" fontId="6" fillId="3" borderId="6" applyAlignment="1" pivotButton="0" quotePrefix="0" xfId="8">
      <alignment horizontal="center" vertical="center"/>
    </xf>
    <xf numFmtId="0" fontId="0" fillId="3" borderId="6" pivotButton="0" quotePrefix="0" xfId="0"/>
    <xf numFmtId="167" fontId="1" fillId="3" borderId="6" applyAlignment="1" pivotButton="0" quotePrefix="0" xfId="7">
      <alignment horizontal="center" vertical="center"/>
    </xf>
    <xf numFmtId="167" fontId="5" fillId="4" borderId="3" applyAlignment="1" pivotButton="0" quotePrefix="0" xfId="5">
      <alignment vertical="center"/>
    </xf>
    <xf numFmtId="167" fontId="5" fillId="5" borderId="3" applyAlignment="1" pivotButton="0" quotePrefix="0" xfId="6">
      <alignment vertical="center"/>
    </xf>
    <xf numFmtId="165" fontId="5" fillId="8" borderId="5" applyAlignment="1" pivotButton="0" quotePrefix="0" xfId="13">
      <alignment vertical="center"/>
    </xf>
    <xf numFmtId="9" fontId="5" fillId="5" borderId="3" applyAlignment="1" pivotButton="0" quotePrefix="0" xfId="6">
      <alignment vertical="center"/>
    </xf>
    <xf numFmtId="9" fontId="5" fillId="4" borderId="3" applyAlignment="1" pivotButton="0" quotePrefix="0" xfId="5">
      <alignment vertical="center"/>
    </xf>
    <xf numFmtId="165" fontId="14" fillId="3" borderId="0" pivotButton="0" quotePrefix="0" xfId="0"/>
    <xf numFmtId="9" fontId="5" fillId="5" borderId="3" applyAlignment="1" pivotButton="0" quotePrefix="0" xfId="6">
      <alignment horizontal="right" vertical="center"/>
    </xf>
    <xf numFmtId="9" fontId="5" fillId="4" borderId="3" applyAlignment="1" pivotButton="0" quotePrefix="0" xfId="5">
      <alignment horizontal="right" vertical="center"/>
    </xf>
    <xf numFmtId="1" fontId="5" fillId="5" borderId="3" applyAlignment="1" pivotButton="0" quotePrefix="0" xfId="6">
      <alignment vertical="center"/>
    </xf>
    <xf numFmtId="1" fontId="5" fillId="4" borderId="3" applyAlignment="1" pivotButton="0" quotePrefix="0" xfId="5">
      <alignment vertical="center"/>
    </xf>
    <xf numFmtId="10" fontId="5" fillId="5" borderId="3" applyAlignment="1" pivotButton="0" quotePrefix="0" xfId="6">
      <alignment horizontal="right" vertical="center"/>
    </xf>
    <xf numFmtId="168" fontId="5" fillId="5" borderId="3" applyAlignment="1" pivotButton="0" quotePrefix="0" xfId="6">
      <alignment vertical="center"/>
    </xf>
    <xf numFmtId="10" fontId="5" fillId="4" borderId="3" applyAlignment="1" pivotButton="0" quotePrefix="0" xfId="5">
      <alignment horizontal="right" vertical="center"/>
    </xf>
    <xf numFmtId="168" fontId="5" fillId="4" borderId="3" applyAlignment="1" pivotButton="0" quotePrefix="0" xfId="5">
      <alignment vertical="center"/>
    </xf>
    <xf numFmtId="169" fontId="5" fillId="5" borderId="3" applyAlignment="1" pivotButton="0" quotePrefix="0" xfId="6">
      <alignment vertical="center"/>
    </xf>
    <xf numFmtId="169" fontId="5" fillId="4" borderId="3" applyAlignment="1" pivotButton="0" quotePrefix="0" xfId="5">
      <alignment vertical="center"/>
    </xf>
    <xf numFmtId="0" fontId="13" fillId="3" borderId="0" pivotButton="0" quotePrefix="0" xfId="0"/>
    <xf numFmtId="164" fontId="15" fillId="3" borderId="0" pivotButton="0" quotePrefix="0" xfId="0"/>
    <xf numFmtId="10" fontId="5" fillId="8" borderId="5" applyAlignment="1" pivotButton="0" quotePrefix="0" xfId="13">
      <alignment vertical="center"/>
    </xf>
    <xf numFmtId="1" fontId="5" fillId="8" borderId="5" applyAlignment="1" pivotButton="0" quotePrefix="0" xfId="13">
      <alignment vertical="center"/>
    </xf>
    <xf numFmtId="0" fontId="16" fillId="4" borderId="7" applyAlignment="1" pivotButton="0" quotePrefix="0" xfId="0">
      <alignment horizontal="center" vertical="top" wrapText="1"/>
    </xf>
  </cellXfs>
  <cellStyles count="14">
    <cellStyle name="Normal" xfId="0" builtinId="0" hidden="0"/>
    <cellStyle name="pwh_title" xfId="1" hidden="0"/>
    <cellStyle name="pwh_subtitle" xfId="2" hidden="0"/>
    <cellStyle name="pwh_sec_hdr" xfId="3" hidden="0"/>
    <cellStyle name="pwh_col_hdr" xfId="4" hidden="0"/>
    <cellStyle name="pwh_data" xfId="5" hidden="0"/>
    <cellStyle name="pwh_data_alt" xfId="6" hidden="0"/>
    <cellStyle name="pwh_kpi_val" xfId="7" hidden="0"/>
    <cellStyle name="pwh_kpi_lbl" xfId="8" hidden="0"/>
    <cellStyle name="pwh_total" xfId="9" hidden="0"/>
    <cellStyle name="pwh_nav_link" xfId="10" hidden="0"/>
    <cellStyle name="pwh_nav_active" xfId="11" hidden="0"/>
    <cellStyle name="pwh_nav_section" xfId="12" hidden="0"/>
    <cellStyle name="pwh_input" xfId="13" hidden="0"/>
  </cellStyles>
  <dxfs count="4">
    <dxf>
      <fill>
        <patternFill>
          <fgColor rgb="00C8E6C9"/>
        </patternFill>
      </fill>
    </dxf>
    <dxf>
      <fill>
        <patternFill>
          <fgColor rgb="00FFF9C4"/>
        </patternFill>
      </fill>
    </dxf>
    <dxf>
      <fill>
        <patternFill>
          <fgColor rgb="00FFCDD2"/>
        </patternFill>
      </fill>
    </dxf>
    <dxf>
      <font>
        <b val="1"/>
        <color rgb="00B71C1C"/>
      </font>
      <fill>
        <patternFill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 vs.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'DASHBOARD'!B70</f>
            </strRef>
          </tx>
          <spPr>
            <a:ln>
              <a:prstDash val="solid"/>
            </a:ln>
          </spPr>
          <cat>
            <numRef>
              <f>'DASHBOARD'!$A$71:$A$82</f>
            </numRef>
          </cat>
          <val>
            <numRef>
              <f>'DASHBOARD'!$B$71:$B$82</f>
            </numRef>
          </val>
        </ser>
        <ser>
          <idx val="1"/>
          <order val="1"/>
          <tx>
            <strRef>
              <f>'DASHBOARD'!C70</f>
            </strRef>
          </tx>
          <spPr>
            <a:ln>
              <a:prstDash val="solid"/>
            </a:ln>
          </spPr>
          <cat>
            <numRef>
              <f>'DASHBOARD'!$A$71:$A$82</f>
            </numRef>
          </cat>
          <val>
            <numRef>
              <f>'DASHBOARD'!$C$71:$C$82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Savings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'DASHBOARD'!D70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'DASHBOARD'!$A$71:$A$82</f>
            </numRef>
          </cat>
          <val>
            <numRef>
              <f>'DASHBOARD'!$D$71:$D$82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Expense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'DASHBOARD'!B90</f>
            </strRef>
          </tx>
          <spPr>
            <a:ln>
              <a:prstDash val="solid"/>
            </a:ln>
          </spPr>
          <cat>
            <numRef>
              <f>'DASHBOARD'!$A$91:$A$105</f>
            </numRef>
          </cat>
          <val>
            <numRef>
              <f>'DASHBOARD'!$B$91:$B$105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Savings This Year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'DASHBOARD'!$A$111:$A$122</f>
            </numRef>
          </cat>
          <val>
            <numRef>
              <f>'DASHBOARD'!$B$111:$B$122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33</row>
      <rowOff>0</rowOff>
    </from>
    <ext cx="50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33</row>
      <rowOff>0</rowOff>
    </from>
    <ext cx="504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4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5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7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Relationship Type="http://schemas.openxmlformats.org/officeDocument/2006/relationships/drawing" Target="/xl/drawings/drawing1.xml" Id="rId30" /></Relationships>
</file>

<file path=xl/worksheets/_rels/sheet8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9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0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1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2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3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4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5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6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7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8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19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0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1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2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3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4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5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6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7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8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_rels/sheet29.xml.rels><Relationships xmlns="http://schemas.openxmlformats.org/package/2006/relationships"><Relationship Type="http://schemas.openxmlformats.org/officeDocument/2006/relationships/hyperlink" Target="#'INSTRUCTIONS'!D2" TargetMode="External" Id="rId1" /><Relationship Type="http://schemas.openxmlformats.org/officeDocument/2006/relationships/hyperlink" Target="#'SETUP'!D2" TargetMode="External" Id="rId2" /><Relationship Type="http://schemas.openxmlformats.org/officeDocument/2006/relationships/hyperlink" Target="#'DASHBOARD'!D2" TargetMode="External" Id="rId3" /><Relationship Type="http://schemas.openxmlformats.org/officeDocument/2006/relationships/hyperlink" Target="#'BANK ACCOUNTS'!D2" TargetMode="External" Id="rId4" /><Relationship Type="http://schemas.openxmlformats.org/officeDocument/2006/relationships/hyperlink" Target="#'RECURRING'!D2" TargetMode="External" Id="rId5" /><Relationship Type="http://schemas.openxmlformats.org/officeDocument/2006/relationships/hyperlink" Target="#'PAYMENTS'!D2" TargetMode="External" Id="rId6" /><Relationship Type="http://schemas.openxmlformats.org/officeDocument/2006/relationships/hyperlink" Target="#'VARIABLE'!D2" TargetMode="External" Id="rId7" /><Relationship Type="http://schemas.openxmlformats.org/officeDocument/2006/relationships/hyperlink" Target="#'ANNUAL TOTALS'!D2" TargetMode="External" Id="rId8" /><Relationship Type="http://schemas.openxmlformats.org/officeDocument/2006/relationships/hyperlink" Target="#'PAYCHECK'!D2" TargetMode="External" Id="rId9" /><Relationship Type="http://schemas.openxmlformats.org/officeDocument/2006/relationships/hyperlink" Target="#'CALENDAR'!D2" TargetMode="External" Id="rId10" /><Relationship Type="http://schemas.openxmlformats.org/officeDocument/2006/relationships/hyperlink" Target="#'JANUARY'!D2" TargetMode="External" Id="rId11" /><Relationship Type="http://schemas.openxmlformats.org/officeDocument/2006/relationships/hyperlink" Target="#'FEBRUARY'!D2" TargetMode="External" Id="rId12" /><Relationship Type="http://schemas.openxmlformats.org/officeDocument/2006/relationships/hyperlink" Target="#'MARCH'!D2" TargetMode="External" Id="rId13" /><Relationship Type="http://schemas.openxmlformats.org/officeDocument/2006/relationships/hyperlink" Target="#'APRIL'!D2" TargetMode="External" Id="rId14" /><Relationship Type="http://schemas.openxmlformats.org/officeDocument/2006/relationships/hyperlink" Target="#'MAY'!D2" TargetMode="External" Id="rId15" /><Relationship Type="http://schemas.openxmlformats.org/officeDocument/2006/relationships/hyperlink" Target="#'JUNE'!D2" TargetMode="External" Id="rId16" /><Relationship Type="http://schemas.openxmlformats.org/officeDocument/2006/relationships/hyperlink" Target="#'JULY'!D2" TargetMode="External" Id="rId17" /><Relationship Type="http://schemas.openxmlformats.org/officeDocument/2006/relationships/hyperlink" Target="#'AUGUST'!D2" TargetMode="External" Id="rId18" /><Relationship Type="http://schemas.openxmlformats.org/officeDocument/2006/relationships/hyperlink" Target="#'SEPTEMBER'!D2" TargetMode="External" Id="rId19" /><Relationship Type="http://schemas.openxmlformats.org/officeDocument/2006/relationships/hyperlink" Target="#'OCTOBER'!D2" TargetMode="External" Id="rId20" /><Relationship Type="http://schemas.openxmlformats.org/officeDocument/2006/relationships/hyperlink" Target="#'NOVEMBER'!D2" TargetMode="External" Id="rId21" /><Relationship Type="http://schemas.openxmlformats.org/officeDocument/2006/relationships/hyperlink" Target="#'DECEMBER'!D2" TargetMode="External" Id="rId22" /><Relationship Type="http://schemas.openxmlformats.org/officeDocument/2006/relationships/hyperlink" Target="#'50-30-20'!D2" TargetMode="External" Id="rId23" /><Relationship Type="http://schemas.openxmlformats.org/officeDocument/2006/relationships/hyperlink" Target="#'EXPENSE DIST'!D2" TargetMode="External" Id="rId24" /><Relationship Type="http://schemas.openxmlformats.org/officeDocument/2006/relationships/hyperlink" Target="#'SINKING FUNDS'!D2" TargetMode="External" Id="rId25" /><Relationship Type="http://schemas.openxmlformats.org/officeDocument/2006/relationships/hyperlink" Target="#'DEBT CALC'!D2" TargetMode="External" Id="rId26" /><Relationship Type="http://schemas.openxmlformats.org/officeDocument/2006/relationships/hyperlink" Target="#'NET WORTH'!D2" TargetMode="External" Id="rId27" /><Relationship Type="http://schemas.openxmlformats.org/officeDocument/2006/relationships/hyperlink" Target="#'INVEST FORECAST'!D2" TargetMode="External" Id="rId28" /><Relationship Type="http://schemas.openxmlformats.org/officeDocument/2006/relationships/hyperlink" Target="#'NO-SPEND'!D2" TargetMode="External" Id="rId29" /></Relationships>
</file>

<file path=xl/worksheets/sheet1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55" customWidth="1" min="4" max="4"/>
    <col width="20" customWidth="1" min="5" max="5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INSTRUCTIONS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WELCOME TO YOUR PLANWISE HAUS ANNUAL BUDGET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8" customHeight="1">
      <c r="A6" s="1" t="n"/>
      <c r="B6" s="9" t="inlineStr">
        <is>
          <t>INSTRUCTIONS</t>
        </is>
      </c>
      <c r="C6" s="4" t="n"/>
      <c r="D6" s="10" t="inlineStr">
        <is>
          <t>Thank you for your purchase! This spreadsheet is your complete annual financial command center.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6" customHeight="1">
      <c r="A7" s="1" t="n"/>
      <c r="B7" s="11" t="inlineStr">
        <is>
          <t>SETUP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20" customHeight="1">
      <c r="A8" s="1" t="n"/>
      <c r="B8" s="11" t="inlineStr">
        <is>
          <t>DASHBOARD</t>
        </is>
      </c>
      <c r="C8" s="4" t="n"/>
      <c r="D8" s="8" t="inlineStr">
        <is>
          <t xml:space="preserve">  GETTING STARTED — FOLLOW THESE STEPS</t>
        </is>
      </c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20" customHeight="1">
      <c r="A9" s="1" t="n"/>
      <c r="B9" s="1" t="n"/>
      <c r="C9" s="4" t="n"/>
      <c r="D9" s="12" t="inlineStr">
        <is>
          <t>Step 1</t>
        </is>
      </c>
      <c r="E9" s="13" t="inlineStr">
        <is>
          <t>Go to SETUP tab → enter your name, year, and preferred currency.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20" customHeight="1">
      <c r="A10" s="1" t="n"/>
      <c r="B10" s="7" t="inlineStr">
        <is>
          <t>ACCOUNTS</t>
        </is>
      </c>
      <c r="C10" s="4" t="n"/>
      <c r="D10" s="12" t="inlineStr">
        <is>
          <t>Step 2</t>
        </is>
      </c>
      <c r="E10" s="13" t="inlineStr">
        <is>
          <t>Add your bank accounts in BANK ACCOUNTS.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12" t="inlineStr">
        <is>
          <t>Step 3</t>
        </is>
      </c>
      <c r="E11" s="13" t="inlineStr">
        <is>
          <t>Enter fixed monthly bills in RECURRING TRANSACTIONS.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20" customHeight="1">
      <c r="A12" s="1" t="n"/>
      <c r="B12" s="11" t="inlineStr">
        <is>
          <t>RECURRING</t>
        </is>
      </c>
      <c r="C12" s="4" t="n"/>
      <c r="D12" s="12" t="inlineStr">
        <is>
          <t>Step 4</t>
        </is>
      </c>
      <c r="E12" s="13" t="inlineStr">
        <is>
          <t>Log daily spending in VARIABLE TRANSACTIONS.</t>
        </is>
      </c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12" t="inlineStr">
        <is>
          <t>Step 5</t>
        </is>
      </c>
      <c r="E13" s="13" t="inlineStr">
        <is>
          <t>Enter your income and monthly budget actuals in each monthly tab (JAN–DEC).</t>
        </is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12" t="inlineStr">
        <is>
          <t>Step 6</t>
        </is>
      </c>
      <c r="E14" s="13" t="inlineStr">
        <is>
          <t>View DASHBOARD for a full financial overview with charts.</t>
        </is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0" customHeight="1">
      <c r="A15" s="1" t="n"/>
      <c r="B15" s="1" t="n"/>
      <c r="C15" s="4" t="n"/>
      <c r="D15" s="12" t="inlineStr">
        <is>
          <t>Step 7</t>
        </is>
      </c>
      <c r="E15" s="13" t="inlineStr">
        <is>
          <t>Use DEBT CALC and INVEST FORECAST for long-term planning.</t>
        </is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6" customHeight="1">
      <c r="A16" s="1" t="n"/>
      <c r="B16" s="7" t="inlineStr">
        <is>
          <t>ANALYTICS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20" customHeight="1">
      <c r="A17" s="1" t="n"/>
      <c r="B17" s="11" t="inlineStr">
        <is>
          <t>ANNUAL TOTALS</t>
        </is>
      </c>
      <c r="C17" s="4" t="n"/>
      <c r="D17" s="8" t="inlineStr">
        <is>
          <t xml:space="preserve">  COLOR LEGEND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20" customHeight="1">
      <c r="A18" s="1" t="n"/>
      <c r="B18" s="11" t="inlineStr">
        <is>
          <t>PAYCHECK</t>
        </is>
      </c>
      <c r="C18" s="4" t="n"/>
      <c r="D18" s="14" t="inlineStr">
        <is>
          <t> </t>
        </is>
      </c>
      <c r="E18" s="13" t="inlineStr">
        <is>
          <t>Primary Teal-Green — Titles, navigation, key labels</t>
        </is>
      </c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20" customHeight="1">
      <c r="A19" s="1" t="n"/>
      <c r="B19" s="11" t="inlineStr">
        <is>
          <t>CALENDAR</t>
        </is>
      </c>
      <c r="C19" s="4" t="n"/>
      <c r="D19" s="15" t="inlineStr">
        <is>
          <t> </t>
        </is>
      </c>
      <c r="E19" s="13" t="inlineStr">
        <is>
          <t>Secondary Teal — Section headers, active nav state</t>
        </is>
      </c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20" customHeight="1">
      <c r="A20" s="1" t="n"/>
      <c r="B20" s="1" t="n"/>
      <c r="C20" s="4" t="n"/>
      <c r="D20" s="2" t="inlineStr">
        <is>
          <t> </t>
        </is>
      </c>
      <c r="E20" s="13" t="inlineStr">
        <is>
          <t>Gold Accent — Input fields, KPI highlights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20" customHeight="1">
      <c r="A21" s="1" t="n"/>
      <c r="B21" s="7" t="inlineStr">
        <is>
          <t>MONTHLY</t>
        </is>
      </c>
      <c r="C21" s="4" t="n"/>
      <c r="D21" s="16" t="inlineStr">
        <is>
          <t> </t>
        </is>
      </c>
      <c r="E21" s="13" t="inlineStr">
        <is>
          <t>Success Green — On-budget, surplus, positive values</t>
        </is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20" customHeight="1">
      <c r="A22" s="1" t="n"/>
      <c r="B22" s="11" t="inlineStr">
        <is>
          <t>JANUARY</t>
        </is>
      </c>
      <c r="C22" s="4" t="n"/>
      <c r="D22" s="17" t="inlineStr">
        <is>
          <t> </t>
        </is>
      </c>
      <c r="E22" s="13" t="inlineStr">
        <is>
          <t>Alert Red — Over-budget, deficit, warnings</t>
        </is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20" customHeight="1">
      <c r="A24" s="1" t="n"/>
      <c r="B24" s="11" t="inlineStr">
        <is>
          <t>MARCH</t>
        </is>
      </c>
      <c r="C24" s="4" t="n"/>
      <c r="D24" s="8" t="inlineStr">
        <is>
          <t xml:space="preserve">  TIPS</t>
        </is>
      </c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20" customHeight="1">
      <c r="A25" s="1" t="n"/>
      <c r="B25" s="11" t="inlineStr">
        <is>
          <t>APRIL</t>
        </is>
      </c>
      <c r="C25" s="4" t="n"/>
      <c r="D25" s="13" t="inlineStr">
        <is>
          <t>• Yellow-highlighted cells are INPUT fields — that is where you enter your data.</t>
        </is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20" customHeight="1">
      <c r="A26" s="1" t="n"/>
      <c r="B26" s="11" t="inlineStr">
        <is>
          <t>MAY</t>
        </is>
      </c>
      <c r="C26" s="4" t="n"/>
      <c r="D26" s="13" t="inlineStr">
        <is>
          <t>• Do not delete rows in monthly tabs — formulas are row-dependent.</t>
        </is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20" customHeight="1">
      <c r="A27" s="1" t="n"/>
      <c r="B27" s="11" t="inlineStr">
        <is>
          <t>JUNE</t>
        </is>
      </c>
      <c r="C27" s="4" t="n"/>
      <c r="D27" s="13" t="inlineStr">
        <is>
          <t>• The Dashboard updates automatically as you fill in monthly data.</t>
        </is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20" customHeight="1">
      <c r="A28" s="1" t="n"/>
      <c r="B28" s="11" t="inlineStr">
        <is>
          <t>JULY</t>
        </is>
      </c>
      <c r="C28" s="4" t="n"/>
      <c r="D28" s="13" t="inlineStr">
        <is>
          <t>• Use the left sidebar on every tab to navigate instantly.</t>
        </is>
      </c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20" customHeight="1">
      <c r="A29" s="1" t="n"/>
      <c r="B29" s="11" t="inlineStr">
        <is>
          <t>AUGUST</t>
        </is>
      </c>
      <c r="C29" s="4" t="n"/>
      <c r="D29" s="13" t="inlineStr">
        <is>
          <t>• The 50/30/20 Dashboard calculates automatically from your Setup budget.</t>
        </is>
      </c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21">
    <mergeCell ref="D26:K26"/>
    <mergeCell ref="E22:K22"/>
    <mergeCell ref="E18:K18"/>
    <mergeCell ref="E21:K21"/>
    <mergeCell ref="E12:K12"/>
    <mergeCell ref="D27:K27"/>
    <mergeCell ref="D17:K17"/>
    <mergeCell ref="E14:K14"/>
    <mergeCell ref="E20:K20"/>
    <mergeCell ref="D28:K28"/>
    <mergeCell ref="E10:K10"/>
    <mergeCell ref="E19:K19"/>
    <mergeCell ref="E13:K13"/>
    <mergeCell ref="D8:K8"/>
    <mergeCell ref="E9:K9"/>
    <mergeCell ref="D25:K25"/>
    <mergeCell ref="D24:K24"/>
    <mergeCell ref="D29:K29"/>
    <mergeCell ref="D5:K5"/>
    <mergeCell ref="E15:K15"/>
    <mergeCell ref="E11:K11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SETUP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YOUR INFORMATION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2" customHeight="1">
      <c r="A6" s="1" t="n"/>
      <c r="B6" s="11" t="inlineStr">
        <is>
          <t>INSTRUCTIONS</t>
        </is>
      </c>
      <c r="C6" s="4" t="n"/>
      <c r="D6" s="12" t="inlineStr">
        <is>
          <t>Your Name</t>
        </is>
      </c>
      <c r="G6" s="18" t="inlineStr">
        <is>
          <t>Jane Smith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22" customHeight="1">
      <c r="A7" s="1" t="n"/>
      <c r="B7" s="9" t="inlineStr">
        <is>
          <t>SETUP</t>
        </is>
      </c>
      <c r="C7" s="4" t="n"/>
      <c r="D7" s="12" t="inlineStr">
        <is>
          <t>Budget Year</t>
        </is>
      </c>
      <c r="G7" s="18" t="n">
        <v>2025</v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22" customHeight="1">
      <c r="A8" s="1" t="n"/>
      <c r="B8" s="11" t="inlineStr">
        <is>
          <t>DASHBOARD</t>
        </is>
      </c>
      <c r="C8" s="4" t="n"/>
      <c r="D8" s="12" t="inlineStr">
        <is>
          <t>Currency Symbol</t>
        </is>
      </c>
      <c r="G8" s="18" t="inlineStr">
        <is>
          <t>$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22" customHeight="1">
      <c r="A9" s="1" t="n"/>
      <c r="B9" s="1" t="n"/>
      <c r="C9" s="4" t="n"/>
      <c r="D9" s="12" t="inlineStr">
        <is>
          <t>Annual Income Goal</t>
        </is>
      </c>
      <c r="G9" s="19" t="n">
        <v>75000</v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22" customHeight="1">
      <c r="A10" s="1" t="n"/>
      <c r="B10" s="7" t="inlineStr">
        <is>
          <t>ACCOUNTS</t>
        </is>
      </c>
      <c r="C10" s="4" t="n"/>
      <c r="D10" s="12" t="inlineStr">
        <is>
          <t>Annual Savings Goal</t>
        </is>
      </c>
      <c r="G10" s="19" t="n">
        <v>15000</v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2" customHeight="1">
      <c r="A11" s="1" t="n"/>
      <c r="B11" s="11" t="inlineStr">
        <is>
          <t>BANK ACCOUNTS</t>
        </is>
      </c>
      <c r="C11" s="4" t="n"/>
      <c r="D11" s="12" t="inlineStr">
        <is>
          <t>Emergency Fund Goal</t>
        </is>
      </c>
      <c r="G11" s="19" t="n">
        <v>10000</v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6" customHeight="1">
      <c r="A13" s="1" t="n"/>
      <c r="B13" s="11" t="inlineStr">
        <is>
          <t>PAYMENTS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8" t="inlineStr">
        <is>
          <t xml:space="preserve">  EXPENSE CATEGORIES &amp; MONTHLY BUDGETS  (edit to customize)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0" customHeight="1">
      <c r="A15" s="1" t="n"/>
      <c r="B15" s="1" t="n"/>
      <c r="C15" s="4" t="n"/>
      <c r="D15" s="20" t="inlineStr">
        <is>
          <t>Category</t>
        </is>
      </c>
      <c r="E15" s="20" t="inlineStr">
        <is>
          <t>Type</t>
        </is>
      </c>
      <c r="F15" s="20" t="inlineStr">
        <is>
          <t>Monthly Budget</t>
        </is>
      </c>
      <c r="G15" s="20" t="inlineStr">
        <is>
          <t>Annual Budget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Housing</t>
        </is>
      </c>
      <c r="E16" s="21" t="inlineStr">
        <is>
          <t>Need</t>
        </is>
      </c>
      <c r="F16" s="22" t="n">
        <v>1500</v>
      </c>
      <c r="G16" s="23">
        <f>F16*12</f>
        <v/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Transportation</t>
        </is>
      </c>
      <c r="E17" s="24" t="inlineStr">
        <is>
          <t>Need</t>
        </is>
      </c>
      <c r="F17" s="25" t="n">
        <v>400</v>
      </c>
      <c r="G17" s="26">
        <f>F17*12</f>
        <v/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Food &amp; Dining</t>
        </is>
      </c>
      <c r="E18" s="21" t="inlineStr">
        <is>
          <t>Need</t>
        </is>
      </c>
      <c r="F18" s="22" t="n">
        <v>600</v>
      </c>
      <c r="G18" s="23">
        <f>F18*12</f>
        <v/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Utilities</t>
        </is>
      </c>
      <c r="E19" s="24" t="inlineStr">
        <is>
          <t>Need</t>
        </is>
      </c>
      <c r="F19" s="25" t="n">
        <v>200</v>
      </c>
      <c r="G19" s="26">
        <f>F19*12</f>
        <v/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Healthcare</t>
        </is>
      </c>
      <c r="E20" s="21" t="inlineStr">
        <is>
          <t>Need</t>
        </is>
      </c>
      <c r="F20" s="22" t="n">
        <v>150</v>
      </c>
      <c r="G20" s="23">
        <f>F20*12</f>
        <v/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Insurance</t>
        </is>
      </c>
      <c r="E21" s="24" t="inlineStr">
        <is>
          <t>Need</t>
        </is>
      </c>
      <c r="F21" s="25" t="n">
        <v>250</v>
      </c>
      <c r="G21" s="26">
        <f>F21*12</f>
        <v/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Entertainment</t>
        </is>
      </c>
      <c r="E22" s="21" t="inlineStr">
        <is>
          <t>Want</t>
        </is>
      </c>
      <c r="F22" s="22" t="n">
        <v>150</v>
      </c>
      <c r="G22" s="23">
        <f>F22*12</f>
        <v/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Shopping</t>
        </is>
      </c>
      <c r="E23" s="24" t="inlineStr">
        <is>
          <t>Want</t>
        </is>
      </c>
      <c r="F23" s="25" t="n">
        <v>200</v>
      </c>
      <c r="G23" s="26">
        <f>F23*12</f>
        <v/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Personal Care</t>
        </is>
      </c>
      <c r="E24" s="21" t="inlineStr">
        <is>
          <t>Want</t>
        </is>
      </c>
      <c r="F24" s="22" t="n">
        <v>100</v>
      </c>
      <c r="G24" s="23">
        <f>F24*12</f>
        <v/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Education</t>
        </is>
      </c>
      <c r="E25" s="24" t="inlineStr">
        <is>
          <t>Want</t>
        </is>
      </c>
      <c r="F25" s="25" t="n">
        <v>50</v>
      </c>
      <c r="G25" s="26">
        <f>F25*12</f>
        <v/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Savings</t>
        </is>
      </c>
      <c r="E26" s="21" t="inlineStr">
        <is>
          <t>Savings</t>
        </is>
      </c>
      <c r="F26" s="22" t="n">
        <v>500</v>
      </c>
      <c r="G26" s="23">
        <f>F26*12</f>
        <v/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Investments</t>
        </is>
      </c>
      <c r="E27" s="24" t="inlineStr">
        <is>
          <t>Savings</t>
        </is>
      </c>
      <c r="F27" s="25" t="n">
        <v>300</v>
      </c>
      <c r="G27" s="26">
        <f>F27*12</f>
        <v/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Debt Payments</t>
        </is>
      </c>
      <c r="E28" s="21" t="inlineStr">
        <is>
          <t>Need</t>
        </is>
      </c>
      <c r="F28" s="22" t="n">
        <v>200</v>
      </c>
      <c r="G28" s="23">
        <f>F28*12</f>
        <v/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Gifts &amp; Donations</t>
        </is>
      </c>
      <c r="E29" s="24" t="inlineStr">
        <is>
          <t>Want</t>
        </is>
      </c>
      <c r="F29" s="25" t="n">
        <v>100</v>
      </c>
      <c r="G29" s="26">
        <f>F29*12</f>
        <v/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8" customHeight="1">
      <c r="A30" s="1" t="n"/>
      <c r="B30" s="11" t="inlineStr">
        <is>
          <t>SEPTEMBER</t>
        </is>
      </c>
      <c r="C30" s="4" t="n"/>
      <c r="D30" s="21" t="inlineStr">
        <is>
          <t>Other</t>
        </is>
      </c>
      <c r="E30" s="21" t="inlineStr">
        <is>
          <t>Other</t>
        </is>
      </c>
      <c r="F30" s="22" t="n">
        <v>100</v>
      </c>
      <c r="G30" s="23">
        <f>F30*12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20" customHeight="1">
      <c r="A31" s="1" t="n"/>
      <c r="B31" s="11" t="inlineStr">
        <is>
          <t>OCTOBER</t>
        </is>
      </c>
      <c r="C31" s="4" t="n"/>
      <c r="D31" s="27" t="inlineStr">
        <is>
          <t>MONTHLY TOTAL</t>
        </is>
      </c>
      <c r="E31" s="4" t="n"/>
      <c r="F31" s="28">
        <f>SUM(F16:F30)</f>
        <v/>
      </c>
      <c r="G31" s="28">
        <f>SUM(G16:G30)</f>
        <v/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8">
    <mergeCell ref="D11:F11"/>
    <mergeCell ref="D5:H5"/>
    <mergeCell ref="D9:F9"/>
    <mergeCell ref="D14:H14"/>
    <mergeCell ref="D7:F7"/>
    <mergeCell ref="D8:F8"/>
    <mergeCell ref="D6:F6"/>
    <mergeCell ref="D10:F10"/>
  </mergeCells>
  <dataValidations count="2">
    <dataValidation sqref="G8" showDropDown="0" showInputMessage="0" showErrorMessage="0" allowBlank="0" type="list">
      <formula1>"$,€,£,¥,₹,CAD,AUD"</formula1>
    </dataValidation>
    <dataValidation sqref="E16:E30" showDropDown="0" showInputMessage="0" showErrorMessage="0" allowBlank="0" type="list">
      <formula1>"Need,Want,Savings,Other"</formula1>
    </dataValidation>
  </dataValidation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5" customWidth="1" min="4" max="4"/>
    <col width="20" customWidth="1" min="5" max="5"/>
    <col width="18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BANK ACCOUNTS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BANK ACCOUNTS &amp; BALANCES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Account Name</t>
        </is>
      </c>
      <c r="E6" s="20" t="inlineStr">
        <is>
          <t>Bank / Institution</t>
        </is>
      </c>
      <c r="F6" s="20" t="inlineStr">
        <is>
          <t>Account Type</t>
        </is>
      </c>
      <c r="G6" s="20" t="inlineStr">
        <is>
          <t>Opening Balance</t>
        </is>
      </c>
      <c r="H6" s="20" t="inlineStr">
        <is>
          <t>Current Balance</t>
        </is>
      </c>
      <c r="I6" s="20" t="inlineStr">
        <is>
          <t>Change</t>
        </is>
      </c>
      <c r="J6" s="20" t="inlineStr">
        <is>
          <t>Notes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Checking</t>
        </is>
      </c>
      <c r="E7" s="24" t="inlineStr">
        <is>
          <t>Chase Bank</t>
        </is>
      </c>
      <c r="F7" s="24" t="inlineStr">
        <is>
          <t>Checking</t>
        </is>
      </c>
      <c r="G7" s="29" t="n">
        <v>3500</v>
      </c>
      <c r="H7" s="29" t="n">
        <v>4250</v>
      </c>
      <c r="I7" s="30">
        <f>F7-E7</f>
        <v/>
      </c>
      <c r="J7" s="24" t="inlineStr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Emergency Savings</t>
        </is>
      </c>
      <c r="E8" s="21" t="inlineStr">
        <is>
          <t>Ally Bank</t>
        </is>
      </c>
      <c r="F8" s="21" t="inlineStr">
        <is>
          <t>Savings</t>
        </is>
      </c>
      <c r="G8" s="31" t="n">
        <v>10000</v>
      </c>
      <c r="H8" s="31" t="n">
        <v>10500</v>
      </c>
      <c r="I8" s="32">
        <f>F8-E8</f>
        <v/>
      </c>
      <c r="J8" s="21" t="inlineStr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Investment Account</t>
        </is>
      </c>
      <c r="E9" s="24" t="inlineStr">
        <is>
          <t>Fidelity</t>
        </is>
      </c>
      <c r="F9" s="24" t="inlineStr">
        <is>
          <t>Investment</t>
        </is>
      </c>
      <c r="G9" s="29" t="n">
        <v>25000</v>
      </c>
      <c r="H9" s="29" t="n">
        <v>26800</v>
      </c>
      <c r="I9" s="30">
        <f>F9-E9</f>
        <v/>
      </c>
      <c r="J9" s="24" t="inlineStr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Credit Card</t>
        </is>
      </c>
      <c r="E10" s="21" t="inlineStr">
        <is>
          <t>Capital One</t>
        </is>
      </c>
      <c r="F10" s="21" t="inlineStr">
        <is>
          <t>Credit Card</t>
        </is>
      </c>
      <c r="G10" s="31" t="n">
        <v>-1200</v>
      </c>
      <c r="H10" s="31" t="n">
        <v>-950</v>
      </c>
      <c r="I10" s="32">
        <f>F10-E10</f>
        <v/>
      </c>
      <c r="J10" s="21" t="inlineStr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9" t="inlineStr">
        <is>
          <t>BANK ACCOUNTS</t>
        </is>
      </c>
      <c r="C11" s="4" t="n"/>
      <c r="D11" s="24" t="inlineStr">
        <is>
          <t>Joint Account</t>
        </is>
      </c>
      <c r="E11" s="24" t="inlineStr">
        <is>
          <t>Credit Union</t>
        </is>
      </c>
      <c r="F11" s="24" t="inlineStr">
        <is>
          <t>Checking</t>
        </is>
      </c>
      <c r="G11" s="29" t="n">
        <v>2000</v>
      </c>
      <c r="H11" s="29" t="n">
        <v>2350</v>
      </c>
      <c r="I11" s="30">
        <f>F11-E11</f>
        <v/>
      </c>
      <c r="J11" s="24" t="inlineStr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6" customHeight="1">
      <c r="A13" s="1" t="n"/>
      <c r="B13" s="11" t="inlineStr">
        <is>
          <t>PAYMENTS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8" t="inlineStr">
        <is>
          <t xml:space="preserve">  SUMMARY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2" customHeight="1">
      <c r="A15" s="1" t="n"/>
      <c r="B15" s="1" t="n"/>
      <c r="C15" s="4" t="n"/>
      <c r="D15" s="33" t="inlineStr">
        <is>
          <t>Total Assets</t>
        </is>
      </c>
      <c r="G15" s="34">
        <f>SUMIF(F7:F60,"Checking",E7:E60)+SUMIF(F7:F60,"Savings",E7:E60)+SUMIF(F7:F60,"Investment",E7:E60)</f>
        <v/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22" customHeight="1">
      <c r="A16" s="1" t="n"/>
      <c r="B16" s="7" t="inlineStr">
        <is>
          <t>ANALYTICS</t>
        </is>
      </c>
      <c r="C16" s="4" t="n"/>
      <c r="D16" s="33" t="inlineStr">
        <is>
          <t>Total Liabilities</t>
        </is>
      </c>
      <c r="G16" s="34">
        <f>SUMIF(F7:F60,"Credit Card",E7:E60)+SUMIF(F7:F60,"Loan",E7:E60)</f>
        <v/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22" customHeight="1">
      <c r="A17" s="1" t="n"/>
      <c r="B17" s="11" t="inlineStr">
        <is>
          <t>ANNUAL TOTALS</t>
        </is>
      </c>
      <c r="C17" s="4" t="n"/>
      <c r="D17" s="33" t="inlineStr">
        <is>
          <t>Net Worth</t>
        </is>
      </c>
      <c r="G17" s="34">
        <f>E15+E16</f>
        <v/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6" customHeight="1">
      <c r="A18" s="1" t="n"/>
      <c r="B18" s="11" t="inlineStr">
        <is>
          <t>PAYCHECK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5">
    <mergeCell ref="D17:F17"/>
    <mergeCell ref="D15:F15"/>
    <mergeCell ref="D16:F16"/>
    <mergeCell ref="D5:J5"/>
    <mergeCell ref="D14:G14"/>
  </mergeCells>
  <dataValidations count="1">
    <dataValidation sqref="F7:F60" showDropDown="0" showInputMessage="0" showErrorMessage="0" allowBlank="0" type="list">
      <formula1>"Checking,Savings,Credit Card,Investment,Loan,Other"</formula1>
    </dataValidation>
  </dataValidation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5" customWidth="1" min="4" max="4"/>
    <col width="20" customWidth="1" min="5" max="5"/>
    <col width="15" customWidth="1" min="6" max="6"/>
    <col width="15" customWidth="1" min="7" max="7"/>
    <col width="12" customWidth="1" min="8" max="8"/>
    <col width="18" customWidth="1" min="9" max="9"/>
    <col width="12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RECURRING TRANSACTIONS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FIXED / RECURRING MONTHLY EXPENSES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Description</t>
        </is>
      </c>
      <c r="E6" s="20" t="inlineStr">
        <is>
          <t>Category</t>
        </is>
      </c>
      <c r="F6" s="20" t="inlineStr">
        <is>
          <t>Monthly Amount</t>
        </is>
      </c>
      <c r="G6" s="20" t="inlineStr">
        <is>
          <t>Annual Total</t>
        </is>
      </c>
      <c r="H6" s="20" t="inlineStr">
        <is>
          <t>Due Day</t>
        </is>
      </c>
      <c r="I6" s="20" t="inlineStr">
        <is>
          <t>Payment Method</t>
        </is>
      </c>
      <c r="J6" s="20" t="inlineStr">
        <is>
          <t>Active?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Rent / Mortgage</t>
        </is>
      </c>
      <c r="E7" s="24" t="inlineStr">
        <is>
          <t>Housing</t>
        </is>
      </c>
      <c r="F7" s="29" t="n">
        <v>1500</v>
      </c>
      <c r="G7" s="30">
        <f>F7*12</f>
        <v/>
      </c>
      <c r="H7" s="35" t="n">
        <v>1</v>
      </c>
      <c r="I7" s="24" t="inlineStr">
        <is>
          <t>Auto-Pay</t>
        </is>
      </c>
      <c r="J7" s="24" t="inlineStr">
        <is>
          <t>Yes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Car Payment</t>
        </is>
      </c>
      <c r="E8" s="21" t="inlineStr">
        <is>
          <t>Transportation</t>
        </is>
      </c>
      <c r="F8" s="31" t="n">
        <v>385</v>
      </c>
      <c r="G8" s="32">
        <f>F8*12</f>
        <v/>
      </c>
      <c r="H8" s="36" t="n">
        <v>15</v>
      </c>
      <c r="I8" s="21" t="inlineStr">
        <is>
          <t>Auto-Pay</t>
        </is>
      </c>
      <c r="J8" s="21" t="inlineStr">
        <is>
          <t>Yes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Car Insurance</t>
        </is>
      </c>
      <c r="E9" s="24" t="inlineStr">
        <is>
          <t>Insurance</t>
        </is>
      </c>
      <c r="F9" s="29" t="n">
        <v>145</v>
      </c>
      <c r="G9" s="30">
        <f>F9*12</f>
        <v/>
      </c>
      <c r="H9" s="35" t="n">
        <v>1</v>
      </c>
      <c r="I9" s="24" t="inlineStr">
        <is>
          <t>Auto-Pay</t>
        </is>
      </c>
      <c r="J9" s="24" t="inlineStr">
        <is>
          <t>Yes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Health Insurance</t>
        </is>
      </c>
      <c r="E10" s="21" t="inlineStr">
        <is>
          <t>Healthcare</t>
        </is>
      </c>
      <c r="F10" s="31" t="n">
        <v>220</v>
      </c>
      <c r="G10" s="32">
        <f>F10*12</f>
        <v/>
      </c>
      <c r="H10" s="36" t="n">
        <v>1</v>
      </c>
      <c r="I10" s="21" t="inlineStr">
        <is>
          <t>Auto-Pay</t>
        </is>
      </c>
      <c r="J10" s="21" t="inlineStr">
        <is>
          <t>Yes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Electric</t>
        </is>
      </c>
      <c r="E11" s="24" t="inlineStr">
        <is>
          <t>Utilities</t>
        </is>
      </c>
      <c r="F11" s="29" t="n">
        <v>120</v>
      </c>
      <c r="G11" s="30">
        <f>F11*12</f>
        <v/>
      </c>
      <c r="H11" s="35" t="n">
        <v>10</v>
      </c>
      <c r="I11" s="24" t="inlineStr">
        <is>
          <t>Auto-Pay</t>
        </is>
      </c>
      <c r="J11" s="24" t="inlineStr">
        <is>
          <t>Yes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8" customHeight="1">
      <c r="A12" s="1" t="n"/>
      <c r="B12" s="9" t="inlineStr">
        <is>
          <t>RECURRING</t>
        </is>
      </c>
      <c r="C12" s="4" t="n"/>
      <c r="D12" s="21" t="inlineStr">
        <is>
          <t>Internet</t>
        </is>
      </c>
      <c r="E12" s="21" t="inlineStr">
        <is>
          <t>Utilities</t>
        </is>
      </c>
      <c r="F12" s="31" t="n">
        <v>65</v>
      </c>
      <c r="G12" s="32">
        <f>F12*12</f>
        <v/>
      </c>
      <c r="H12" s="36" t="n">
        <v>20</v>
      </c>
      <c r="I12" s="21" t="inlineStr">
        <is>
          <t>Auto-Pay</t>
        </is>
      </c>
      <c r="J12" s="21" t="inlineStr">
        <is>
          <t>Yes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11" t="inlineStr">
        <is>
          <t>PAYMENTS</t>
        </is>
      </c>
      <c r="C13" s="4" t="n"/>
      <c r="D13" s="24" t="inlineStr">
        <is>
          <t>Phone Bill</t>
        </is>
      </c>
      <c r="E13" s="24" t="inlineStr">
        <is>
          <t>Utilities</t>
        </is>
      </c>
      <c r="F13" s="29" t="n">
        <v>80</v>
      </c>
      <c r="G13" s="30">
        <f>F13*12</f>
        <v/>
      </c>
      <c r="H13" s="35" t="n">
        <v>25</v>
      </c>
      <c r="I13" s="24" t="inlineStr">
        <is>
          <t>Auto-Pay</t>
        </is>
      </c>
      <c r="J13" s="24" t="inlineStr">
        <is>
          <t>Yes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8" customHeight="1">
      <c r="A14" s="1" t="n"/>
      <c r="B14" s="11" t="inlineStr">
        <is>
          <t>VARIABLE</t>
        </is>
      </c>
      <c r="C14" s="4" t="n"/>
      <c r="D14" s="21" t="inlineStr">
        <is>
          <t>Netflix</t>
        </is>
      </c>
      <c r="E14" s="21" t="inlineStr">
        <is>
          <t>Entertainment</t>
        </is>
      </c>
      <c r="F14" s="31" t="n">
        <v>15.99</v>
      </c>
      <c r="G14" s="32">
        <f>F14*12</f>
        <v/>
      </c>
      <c r="H14" s="36" t="n">
        <v>7</v>
      </c>
      <c r="I14" s="21" t="inlineStr">
        <is>
          <t>Credit Card</t>
        </is>
      </c>
      <c r="J14" s="21" t="inlineStr">
        <is>
          <t>Yes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Spotify</t>
        </is>
      </c>
      <c r="E15" s="24" t="inlineStr">
        <is>
          <t>Entertainment</t>
        </is>
      </c>
      <c r="F15" s="29" t="n">
        <v>9.99</v>
      </c>
      <c r="G15" s="30">
        <f>F15*12</f>
        <v/>
      </c>
      <c r="H15" s="35" t="n">
        <v>14</v>
      </c>
      <c r="I15" s="24" t="inlineStr">
        <is>
          <t>Credit Card</t>
        </is>
      </c>
      <c r="J15" s="24" t="inlineStr">
        <is>
          <t>Yes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Gym Membership</t>
        </is>
      </c>
      <c r="E16" s="21" t="inlineStr">
        <is>
          <t>Personal Care</t>
        </is>
      </c>
      <c r="F16" s="31" t="n">
        <v>45</v>
      </c>
      <c r="G16" s="32">
        <f>F16*12</f>
        <v/>
      </c>
      <c r="H16" s="36" t="n">
        <v>1</v>
      </c>
      <c r="I16" s="21" t="inlineStr">
        <is>
          <t>Debit Card</t>
        </is>
      </c>
      <c r="J16" s="21" t="inlineStr">
        <is>
          <t>Yes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6" customHeight="1">
      <c r="A17" s="1" t="n"/>
      <c r="B17" s="11" t="inlineStr">
        <is>
          <t>ANNUAL TOTALS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20" customHeight="1">
      <c r="A18" s="1" t="n"/>
      <c r="B18" s="11" t="inlineStr">
        <is>
          <t>PAYCHECK</t>
        </is>
      </c>
      <c r="C18" s="4" t="n"/>
      <c r="D18" s="27" t="inlineStr">
        <is>
          <t>MONTHLY TOTAL</t>
        </is>
      </c>
      <c r="E18" s="4" t="n"/>
      <c r="F18" s="37">
        <f>SUMIF(J7:J17,"Yes",F7:F17)</f>
        <v/>
      </c>
      <c r="G18" s="37">
        <f>F18*12</f>
        <v/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">
    <mergeCell ref="D5:J5"/>
  </mergeCells>
  <dataValidations count="3">
    <dataValidation sqref="E7:E80" showDropDown="0" showInputMessage="0" showErrorMessage="0" allowBlank="0" type="list">
      <formula1>"Housing,Transportation,Food &amp; Dining,Utilities,Healthcare,Insurance,Entertainment,Shopping,Personal Care,Education,Savings,Investments,Debt Payments,Gifts &amp; Donations,Other"</formula1>
    </dataValidation>
    <dataValidation sqref="I7:I80" showDropDown="0" showInputMessage="0" showErrorMessage="0" allowBlank="0" type="list">
      <formula1>"Credit Card,Debit Card,Bank Transfer,Cash,Auto-Pay,Check"</formula1>
    </dataValidation>
    <dataValidation sqref="J7:J8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4" customWidth="1" min="4" max="4"/>
    <col width="18" customWidth="1" min="5" max="5"/>
    <col width="14" customWidth="1" min="6" max="6"/>
    <col width="12" customWidth="1" min="7" max="7"/>
    <col width="14" customWidth="1" min="8" max="8"/>
    <col width="16" customWidth="1" min="9" max="9"/>
    <col width="18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BILL PAYMENT TRACKER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MONTHLY BILL PAYMENT TRACKER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Bill / Description</t>
        </is>
      </c>
      <c r="E6" s="20" t="inlineStr">
        <is>
          <t>Category</t>
        </is>
      </c>
      <c r="F6" s="20" t="inlineStr">
        <is>
          <t>Amount Due</t>
        </is>
      </c>
      <c r="G6" s="20" t="inlineStr">
        <is>
          <t>Due Date</t>
        </is>
      </c>
      <c r="H6" s="20" t="inlineStr">
        <is>
          <t>Date Paid</t>
        </is>
      </c>
      <c r="I6" s="20" t="inlineStr">
        <is>
          <t>Status</t>
        </is>
      </c>
      <c r="J6" s="20" t="inlineStr">
        <is>
          <t>Payment Method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Rent / Mortgage</t>
        </is>
      </c>
      <c r="E7" s="24" t="inlineStr">
        <is>
          <t>Housing</t>
        </is>
      </c>
      <c r="F7" s="29" t="n">
        <v>1500</v>
      </c>
      <c r="G7" s="35" t="n">
        <v>1</v>
      </c>
      <c r="H7" s="38" t="inlineStr"/>
      <c r="I7" s="24" t="inlineStr">
        <is>
          <t>Pending</t>
        </is>
      </c>
      <c r="J7" s="24" t="inlineStr">
        <is>
          <t>Auto-Pay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Car Payment</t>
        </is>
      </c>
      <c r="E8" s="21" t="inlineStr">
        <is>
          <t>Transportation</t>
        </is>
      </c>
      <c r="F8" s="31" t="n">
        <v>385</v>
      </c>
      <c r="G8" s="36" t="n">
        <v>15</v>
      </c>
      <c r="H8" s="39" t="inlineStr"/>
      <c r="I8" s="21" t="inlineStr">
        <is>
          <t>Pending</t>
        </is>
      </c>
      <c r="J8" s="21" t="inlineStr">
        <is>
          <t>Auto-Pay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Electric</t>
        </is>
      </c>
      <c r="E9" s="24" t="inlineStr">
        <is>
          <t>Utilities</t>
        </is>
      </c>
      <c r="F9" s="29" t="n">
        <v>120</v>
      </c>
      <c r="G9" s="35" t="n">
        <v>10</v>
      </c>
      <c r="H9" s="38" t="inlineStr"/>
      <c r="I9" s="24" t="inlineStr">
        <is>
          <t>Pending</t>
        </is>
      </c>
      <c r="J9" s="24" t="inlineStr">
        <is>
          <t>Auto-Pay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Internet</t>
        </is>
      </c>
      <c r="E10" s="21" t="inlineStr">
        <is>
          <t>Utilities</t>
        </is>
      </c>
      <c r="F10" s="31" t="n">
        <v>65</v>
      </c>
      <c r="G10" s="36" t="n">
        <v>20</v>
      </c>
      <c r="H10" s="39" t="inlineStr"/>
      <c r="I10" s="21" t="inlineStr">
        <is>
          <t>Pending</t>
        </is>
      </c>
      <c r="J10" s="21" t="inlineStr">
        <is>
          <t>Auto-Pay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Phone</t>
        </is>
      </c>
      <c r="E11" s="24" t="inlineStr">
        <is>
          <t>Utilities</t>
        </is>
      </c>
      <c r="F11" s="29" t="n">
        <v>80</v>
      </c>
      <c r="G11" s="35" t="n">
        <v>25</v>
      </c>
      <c r="H11" s="38" t="inlineStr"/>
      <c r="I11" s="24" t="inlineStr">
        <is>
          <t>Pending</t>
        </is>
      </c>
      <c r="J11" s="24" t="inlineStr">
        <is>
          <t>Auto-Pay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8" customHeight="1">
      <c r="A12" s="1" t="n"/>
      <c r="B12" s="11" t="inlineStr">
        <is>
          <t>RECURRING</t>
        </is>
      </c>
      <c r="C12" s="4" t="n"/>
      <c r="D12" s="21" t="inlineStr">
        <is>
          <t>Health Insurance</t>
        </is>
      </c>
      <c r="E12" s="21" t="inlineStr">
        <is>
          <t>Healthcare</t>
        </is>
      </c>
      <c r="F12" s="31" t="n">
        <v>220</v>
      </c>
      <c r="G12" s="36" t="n">
        <v>1</v>
      </c>
      <c r="H12" s="39" t="inlineStr"/>
      <c r="I12" s="21" t="inlineStr">
        <is>
          <t>Pending</t>
        </is>
      </c>
      <c r="J12" s="21" t="inlineStr">
        <is>
          <t>Auto-Pay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9" t="inlineStr">
        <is>
          <t>PAYMENTS</t>
        </is>
      </c>
      <c r="C13" s="4" t="n"/>
      <c r="D13" s="24" t="inlineStr">
        <is>
          <t>Car Insurance</t>
        </is>
      </c>
      <c r="E13" s="24" t="inlineStr">
        <is>
          <t>Insurance</t>
        </is>
      </c>
      <c r="F13" s="29" t="n">
        <v>145</v>
      </c>
      <c r="G13" s="35" t="n">
        <v>1</v>
      </c>
      <c r="H13" s="38" t="inlineStr"/>
      <c r="I13" s="24" t="inlineStr">
        <is>
          <t>Pending</t>
        </is>
      </c>
      <c r="J13" s="24" t="inlineStr">
        <is>
          <t>Auto-Pay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8" customHeight="1">
      <c r="A14" s="1" t="n"/>
      <c r="B14" s="11" t="inlineStr">
        <is>
          <t>VARIABLE</t>
        </is>
      </c>
      <c r="C14" s="4" t="n"/>
      <c r="D14" s="21" t="inlineStr">
        <is>
          <t>Gym</t>
        </is>
      </c>
      <c r="E14" s="21" t="inlineStr">
        <is>
          <t>Personal Care</t>
        </is>
      </c>
      <c r="F14" s="31" t="n">
        <v>45</v>
      </c>
      <c r="G14" s="36" t="n">
        <v>1</v>
      </c>
      <c r="H14" s="39" t="inlineStr"/>
      <c r="I14" s="21" t="inlineStr">
        <is>
          <t>Pending</t>
        </is>
      </c>
      <c r="J14" s="21" t="inlineStr">
        <is>
          <t>Auto-Pay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Netflix</t>
        </is>
      </c>
      <c r="E15" s="24" t="inlineStr">
        <is>
          <t>Entertainment</t>
        </is>
      </c>
      <c r="F15" s="29" t="n">
        <v>15.99</v>
      </c>
      <c r="G15" s="35" t="n">
        <v>7</v>
      </c>
      <c r="H15" s="38" t="inlineStr"/>
      <c r="I15" s="24" t="inlineStr">
        <is>
          <t>Pending</t>
        </is>
      </c>
      <c r="J15" s="24" t="inlineStr">
        <is>
          <t>Auto-Pay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Spotify</t>
        </is>
      </c>
      <c r="E16" s="21" t="inlineStr">
        <is>
          <t>Entertainment</t>
        </is>
      </c>
      <c r="F16" s="31" t="n">
        <v>9.99</v>
      </c>
      <c r="G16" s="36" t="n">
        <v>14</v>
      </c>
      <c r="H16" s="39" t="inlineStr"/>
      <c r="I16" s="21" t="inlineStr">
        <is>
          <t>Pending</t>
        </is>
      </c>
      <c r="J16" s="21" t="inlineStr">
        <is>
          <t>Auto-Pay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Student Loan</t>
        </is>
      </c>
      <c r="E17" s="24" t="inlineStr">
        <is>
          <t>Debt Payments</t>
        </is>
      </c>
      <c r="F17" s="29" t="n">
        <v>250</v>
      </c>
      <c r="G17" s="35" t="n">
        <v>20</v>
      </c>
      <c r="H17" s="38" t="inlineStr"/>
      <c r="I17" s="24" t="inlineStr">
        <is>
          <t>Pending</t>
        </is>
      </c>
      <c r="J17" s="24" t="inlineStr">
        <is>
          <t>Auto-Pay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Credit Card Min</t>
        </is>
      </c>
      <c r="E18" s="21" t="inlineStr">
        <is>
          <t>Debt Payments</t>
        </is>
      </c>
      <c r="F18" s="31" t="n">
        <v>100</v>
      </c>
      <c r="G18" s="36" t="n">
        <v>28</v>
      </c>
      <c r="H18" s="39" t="inlineStr"/>
      <c r="I18" s="21" t="inlineStr">
        <is>
          <t>Pending</t>
        </is>
      </c>
      <c r="J18" s="21" t="inlineStr">
        <is>
          <t>Auto-Pay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27" t="inlineStr">
        <is>
          <t>TOTAL DUE</t>
        </is>
      </c>
      <c r="E20" s="4" t="n"/>
      <c r="F20" s="37">
        <f>SUM(F7:F19)</f>
        <v/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27" t="inlineStr">
        <is>
          <t>TOTAL PAID</t>
        </is>
      </c>
      <c r="E21" s="4" t="n"/>
      <c r="F21" s="37">
        <f>SUMIF(J7:J19,"Paid",F7:F19)</f>
        <v/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">
    <mergeCell ref="D5:J5"/>
  </mergeCells>
  <conditionalFormatting sqref="J7:J80">
    <cfRule type="containsText" priority="1" operator="containsText" dxfId="0" text="Paid">
      <formula>NOT(ISERROR(SEARCH("Paid",J7)))</formula>
    </cfRule>
    <cfRule type="containsText" priority="2" operator="containsText" dxfId="1" text="Pending">
      <formula>NOT(ISERROR(SEARCH("Pending",J7)))</formula>
    </cfRule>
    <cfRule type="containsText" priority="3" operator="containsText" dxfId="2" text="Overdue">
      <formula>NOT(ISERROR(SEARCH("Overdue",J7)))</formula>
    </cfRule>
  </conditionalFormatting>
  <dataValidations count="1">
    <dataValidation sqref="J7:J80" showDropDown="0" showInputMessage="0" showErrorMessage="0" allowBlank="0" type="list">
      <formula1>"Paid,Pending,Overdue,Auto-Pay"</formula1>
    </dataValidation>
  </dataValidation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4" customWidth="1" min="7" max="7"/>
    <col width="20" customWidth="1" min="8" max="8"/>
    <col width="12" customWidth="1" min="9" max="9"/>
    <col width="22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VARIABLE TRANSACTIONS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DAILY / VARIABLE TRANSACTION LOG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Date</t>
        </is>
      </c>
      <c r="E6" s="20" t="inlineStr">
        <is>
          <t>Description</t>
        </is>
      </c>
      <c r="F6" s="20" t="inlineStr">
        <is>
          <t>Category</t>
        </is>
      </c>
      <c r="G6" s="20" t="inlineStr">
        <is>
          <t>Amount</t>
        </is>
      </c>
      <c r="H6" s="20" t="inlineStr">
        <is>
          <t>Payment Method</t>
        </is>
      </c>
      <c r="I6" s="20" t="inlineStr">
        <is>
          <t>Tax Deductible?</t>
        </is>
      </c>
      <c r="J6" s="20" t="inlineStr">
        <is>
          <t>Notes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38" t="inlineStr">
        <is>
          <t>01/03/2025</t>
        </is>
      </c>
      <c r="E7" s="24" t="inlineStr">
        <is>
          <t>Grocery Store</t>
        </is>
      </c>
      <c r="F7" s="24" t="inlineStr">
        <is>
          <t>Food &amp; Dining</t>
        </is>
      </c>
      <c r="G7" s="29" t="n">
        <v>87.43000000000001</v>
      </c>
      <c r="H7" s="24" t="inlineStr">
        <is>
          <t>Debit Card</t>
        </is>
      </c>
      <c r="I7" s="24" t="inlineStr">
        <is>
          <t>No</t>
        </is>
      </c>
      <c r="J7" s="24" t="inlineStr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39" t="inlineStr">
        <is>
          <t>01/05/2025</t>
        </is>
      </c>
      <c r="E8" s="21" t="inlineStr">
        <is>
          <t>Gas Station</t>
        </is>
      </c>
      <c r="F8" s="21" t="inlineStr">
        <is>
          <t>Transportation</t>
        </is>
      </c>
      <c r="G8" s="31" t="n">
        <v>52.1</v>
      </c>
      <c r="H8" s="21" t="inlineStr">
        <is>
          <t>Credit Card</t>
        </is>
      </c>
      <c r="I8" s="21" t="inlineStr">
        <is>
          <t>No</t>
        </is>
      </c>
      <c r="J8" s="21" t="inlineStr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38" t="inlineStr">
        <is>
          <t>01/07/2025</t>
        </is>
      </c>
      <c r="E9" s="24" t="inlineStr">
        <is>
          <t>Restaurant</t>
        </is>
      </c>
      <c r="F9" s="24" t="inlineStr">
        <is>
          <t>Food &amp; Dining</t>
        </is>
      </c>
      <c r="G9" s="29" t="n">
        <v>65</v>
      </c>
      <c r="H9" s="24" t="inlineStr">
        <is>
          <t>Credit Card</t>
        </is>
      </c>
      <c r="I9" s="24" t="inlineStr">
        <is>
          <t>No</t>
        </is>
      </c>
      <c r="J9" s="24" t="inlineStr">
        <is>
          <t>Anniversary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39" t="inlineStr">
        <is>
          <t>01/10/2025</t>
        </is>
      </c>
      <c r="E10" s="21" t="inlineStr">
        <is>
          <t>Amazon</t>
        </is>
      </c>
      <c r="F10" s="21" t="inlineStr">
        <is>
          <t>Shopping</t>
        </is>
      </c>
      <c r="G10" s="31" t="n">
        <v>34.99</v>
      </c>
      <c r="H10" s="21" t="inlineStr">
        <is>
          <t>Credit Card</t>
        </is>
      </c>
      <c r="I10" s="21" t="inlineStr">
        <is>
          <t>No</t>
        </is>
      </c>
      <c r="J10" s="21" t="inlineStr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38" t="inlineStr">
        <is>
          <t>01/12/2025</t>
        </is>
      </c>
      <c r="E11" s="24" t="inlineStr">
        <is>
          <t>Doctor Co-pay</t>
        </is>
      </c>
      <c r="F11" s="24" t="inlineStr">
        <is>
          <t>Healthcare</t>
        </is>
      </c>
      <c r="G11" s="29" t="n">
        <v>30</v>
      </c>
      <c r="H11" s="24" t="inlineStr">
        <is>
          <t>Debit Card</t>
        </is>
      </c>
      <c r="I11" s="24" t="inlineStr">
        <is>
          <t>Yes</t>
        </is>
      </c>
      <c r="J11" s="24" t="inlineStr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6" customHeight="1">
      <c r="A13" s="1" t="n"/>
      <c r="B13" s="11" t="inlineStr">
        <is>
          <t>PAYMENTS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6" customHeight="1">
      <c r="A14" s="1" t="n"/>
      <c r="B14" s="9" t="inlineStr">
        <is>
          <t>VARIABLE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6" customHeight="1">
      <c r="A15" s="1" t="n"/>
      <c r="B15" s="1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6" customHeight="1">
      <c r="A16" s="1" t="n"/>
      <c r="B16" s="7" t="inlineStr">
        <is>
          <t>ANALYTICS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6" customHeight="1">
      <c r="A17" s="1" t="n"/>
      <c r="B17" s="11" t="inlineStr">
        <is>
          <t>ANNUAL TOTALS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6" customHeight="1">
      <c r="A18" s="1" t="n"/>
      <c r="B18" s="11" t="inlineStr">
        <is>
          <t>PAYCHECK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">
    <mergeCell ref="D5:J5"/>
  </mergeCells>
  <dataValidations count="3">
    <dataValidation sqref="F7:F1000" showDropDown="0" showInputMessage="0" showErrorMessage="0" allowBlank="0" type="list">
      <formula1>"Housing,Transportation,Food &amp; Dining,Utilities,Healthcare,Insurance,Entertainment,Shopping,Personal Care,Education,Savings,Investments,Debt Payments,Gifts &amp; Donations,Other"</formula1>
    </dataValidation>
    <dataValidation sqref="H7:H1000" showDropDown="0" showInputMessage="0" showErrorMessage="0" allowBlank="0" type="list">
      <formula1>"Credit Card,Debit Card,Cash,Bank Transfer,Other"</formula1>
    </dataValidation>
    <dataValidation sqref="I7:I1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5F5A"/>
    <outlinePr summaryBelow="1" summaryRight="1"/>
    <pageSetUpPr/>
  </sheetPr>
  <dimension ref="A1:AX122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ALL-IN-ONE DASHBOARD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FINANCIAL SNAPSHOT  —  2025</t>
        </is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5" customHeight="1">
      <c r="A6" s="1" t="n"/>
      <c r="B6" s="11" t="inlineStr">
        <is>
          <t>INSTRUCTIONS</t>
        </is>
      </c>
      <c r="C6" s="4" t="n"/>
      <c r="D6" s="2" t="n"/>
      <c r="E6" s="2" t="n"/>
      <c r="F6" s="2" t="n"/>
      <c r="G6" s="2" t="n"/>
      <c r="H6" s="4" t="n"/>
      <c r="I6" s="2" t="n"/>
      <c r="J6" s="2" t="n"/>
      <c r="K6" s="2" t="n"/>
      <c r="L6" s="2" t="n"/>
      <c r="M6" s="4" t="n"/>
      <c r="N6" s="2" t="n"/>
      <c r="O6" s="2" t="n"/>
      <c r="P6" s="2" t="n"/>
      <c r="Q6" s="2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34" customHeight="1">
      <c r="A7" s="1" t="n"/>
      <c r="B7" s="11" t="inlineStr">
        <is>
          <t>SETUP</t>
        </is>
      </c>
      <c r="C7" s="4" t="n"/>
      <c r="D7" s="40">
        <f>'ANNUAL TOTALS'!E19</f>
        <v/>
      </c>
      <c r="E7" s="41" t="n"/>
      <c r="F7" s="41" t="n"/>
      <c r="G7" s="41" t="n"/>
      <c r="H7" s="4" t="n"/>
      <c r="I7" s="40">
        <f>'ANNUAL TOTALS'!F19</f>
        <v/>
      </c>
      <c r="J7" s="41" t="n"/>
      <c r="K7" s="41" t="n"/>
      <c r="L7" s="41" t="n"/>
      <c r="M7" s="4" t="n"/>
      <c r="N7" s="40">
        <f>'ANNUAL TOTALS'!G19</f>
        <v/>
      </c>
      <c r="O7" s="41" t="n"/>
      <c r="P7" s="41" t="n"/>
      <c r="Q7" s="41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9" t="inlineStr">
        <is>
          <t>DASHBOARD</t>
        </is>
      </c>
      <c r="C8" s="4" t="n"/>
      <c r="D8" s="42" t="inlineStr">
        <is>
          <t>ANNUAL INCOME</t>
        </is>
      </c>
      <c r="E8" s="41" t="n"/>
      <c r="F8" s="41" t="n"/>
      <c r="G8" s="41" t="n"/>
      <c r="H8" s="4" t="n"/>
      <c r="I8" s="42" t="inlineStr">
        <is>
          <t>ANNUAL EXPENSES</t>
        </is>
      </c>
      <c r="J8" s="41" t="n"/>
      <c r="K8" s="41" t="n"/>
      <c r="L8" s="41" t="n"/>
      <c r="M8" s="4" t="n"/>
      <c r="N8" s="42" t="inlineStr">
        <is>
          <t>NET SAVINGS</t>
        </is>
      </c>
      <c r="O8" s="41" t="n"/>
      <c r="P8" s="41" t="n"/>
      <c r="Q8" s="41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8" customHeight="1">
      <c r="A9" s="1" t="n"/>
      <c r="B9" s="1" t="n"/>
      <c r="C9" s="4" t="n"/>
      <c r="D9" s="43" t="n"/>
      <c r="E9" s="41" t="n"/>
      <c r="F9" s="41" t="n"/>
      <c r="G9" s="41" t="n"/>
      <c r="H9" s="4" t="n"/>
      <c r="I9" s="43" t="n"/>
      <c r="J9" s="41" t="n"/>
      <c r="K9" s="41" t="n"/>
      <c r="L9" s="41" t="n"/>
      <c r="M9" s="4" t="n"/>
      <c r="N9" s="43" t="n"/>
      <c r="O9" s="41" t="n"/>
      <c r="P9" s="41" t="n"/>
      <c r="Q9" s="41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5" customHeight="1">
      <c r="A11" s="1" t="n"/>
      <c r="B11" s="11" t="inlineStr">
        <is>
          <t>BANK ACCOUNTS</t>
        </is>
      </c>
      <c r="C11" s="4" t="n"/>
      <c r="D11" s="2" t="n"/>
      <c r="E11" s="2" t="n"/>
      <c r="F11" s="2" t="n"/>
      <c r="G11" s="2" t="n"/>
      <c r="H11" s="4" t="n"/>
      <c r="I11" s="2" t="n"/>
      <c r="J11" s="2" t="n"/>
      <c r="K11" s="2" t="n"/>
      <c r="L11" s="2" t="n"/>
      <c r="M11" s="4" t="n"/>
      <c r="N11" s="2" t="n"/>
      <c r="O11" s="2" t="n"/>
      <c r="P11" s="2" t="n"/>
      <c r="Q11" s="2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34" customHeight="1">
      <c r="A12" s="1" t="n"/>
      <c r="B12" s="11" t="inlineStr">
        <is>
          <t>RECURRING</t>
        </is>
      </c>
      <c r="C12" s="4" t="n"/>
      <c r="D12" s="44">
        <f>IF('ANNUAL TOTALS'!E19&gt;0,'ANNUAL TOTALS'!G19/'ANNUAL TOTALS'!E19,0)</f>
        <v/>
      </c>
      <c r="E12" s="41" t="n"/>
      <c r="F12" s="41" t="n"/>
      <c r="G12" s="41" t="n"/>
      <c r="H12" s="4" t="n"/>
      <c r="I12" s="40">
        <f>'DEBT CALC'!E13</f>
        <v/>
      </c>
      <c r="J12" s="41" t="n"/>
      <c r="K12" s="41" t="n"/>
      <c r="L12" s="41" t="n"/>
      <c r="M12" s="4" t="n"/>
      <c r="N12" s="40">
        <f>'NET WORTH'!F28</f>
        <v/>
      </c>
      <c r="O12" s="41" t="n"/>
      <c r="P12" s="41" t="n"/>
      <c r="Q12" s="41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11" t="inlineStr">
        <is>
          <t>PAYMENTS</t>
        </is>
      </c>
      <c r="C13" s="4" t="n"/>
      <c r="D13" s="42" t="inlineStr">
        <is>
          <t>SAVINGS RATE</t>
        </is>
      </c>
      <c r="E13" s="41" t="n"/>
      <c r="F13" s="41" t="n"/>
      <c r="G13" s="41" t="n"/>
      <c r="H13" s="4" t="n"/>
      <c r="I13" s="42" t="inlineStr">
        <is>
          <t>TOTAL DEBT</t>
        </is>
      </c>
      <c r="J13" s="41" t="n"/>
      <c r="K13" s="41" t="n"/>
      <c r="L13" s="41" t="n"/>
      <c r="M13" s="4" t="n"/>
      <c r="N13" s="42" t="inlineStr">
        <is>
          <t>NET WORTH</t>
        </is>
      </c>
      <c r="O13" s="41" t="n"/>
      <c r="P13" s="41" t="n"/>
      <c r="Q13" s="41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8" customHeight="1">
      <c r="A14" s="1" t="n"/>
      <c r="B14" s="11" t="inlineStr">
        <is>
          <t>VARIABLE</t>
        </is>
      </c>
      <c r="C14" s="4" t="n"/>
      <c r="D14" s="43" t="n"/>
      <c r="E14" s="41" t="n"/>
      <c r="F14" s="41" t="n"/>
      <c r="G14" s="41" t="n"/>
      <c r="H14" s="4" t="n"/>
      <c r="I14" s="43" t="n"/>
      <c r="J14" s="41" t="n"/>
      <c r="K14" s="41" t="n"/>
      <c r="L14" s="41" t="n"/>
      <c r="M14" s="4" t="n"/>
      <c r="N14" s="43" t="n"/>
      <c r="O14" s="41" t="n"/>
      <c r="P14" s="41" t="n"/>
      <c r="Q14" s="41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6" customHeight="1">
      <c r="A15" s="1" t="n"/>
      <c r="B15" s="1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4" customHeight="1">
      <c r="A16" s="1" t="n"/>
      <c r="B16" s="7" t="inlineStr">
        <is>
          <t>ANALYTICS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20" customHeight="1">
      <c r="A17" s="1" t="n"/>
      <c r="B17" s="11" t="inlineStr">
        <is>
          <t>ANNUAL TOTALS</t>
        </is>
      </c>
      <c r="C17" s="4" t="n"/>
      <c r="D17" s="8" t="inlineStr">
        <is>
          <t xml:space="preserve">  INCOME vs. EXPENSES BY MONTH</t>
        </is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6" customHeight="1">
      <c r="A18" s="1" t="n"/>
      <c r="B18" s="11" t="inlineStr">
        <is>
          <t>PAYCHECK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0" customHeight="1">
      <c r="A33" s="1" t="n"/>
      <c r="B33" s="11" t="inlineStr">
        <is>
          <t>DECEMBER</t>
        </is>
      </c>
      <c r="C33" s="4" t="n"/>
      <c r="D33" s="8" t="inlineStr">
        <is>
          <t xml:space="preserve">  EXPENSE DISTRIBUTION</t>
        </is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20" customHeight="1">
      <c r="A50" s="1" t="n"/>
      <c r="B50" s="1" t="n"/>
      <c r="C50" s="4" t="n"/>
      <c r="D50" s="8" t="inlineStr">
        <is>
          <t xml:space="preserve">  MONTH-BY-MONTH SUMMARY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20" customHeight="1">
      <c r="A51" s="1" t="n"/>
      <c r="B51" s="1" t="n"/>
      <c r="C51" s="4" t="n"/>
      <c r="D51" s="20" t="inlineStr">
        <is>
          <t>Month</t>
        </is>
      </c>
      <c r="E51" s="20" t="inlineStr">
        <is>
          <t>Income</t>
        </is>
      </c>
      <c r="F51" s="20" t="inlineStr">
        <is>
          <t>Expenses</t>
        </is>
      </c>
      <c r="G51" s="20" t="inlineStr">
        <is>
          <t>Net Savings</t>
        </is>
      </c>
      <c r="H51" s="20" t="inlineStr">
        <is>
          <t>Savings Rate</t>
        </is>
      </c>
      <c r="I51" s="20" t="inlineStr">
        <is>
          <t>Status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8" customHeight="1">
      <c r="A52" s="1" t="n"/>
      <c r="B52" s="1" t="n"/>
      <c r="C52" s="4" t="n"/>
      <c r="D52" s="21" t="inlineStr">
        <is>
          <t>JANUARY</t>
        </is>
      </c>
      <c r="E52" s="23">
        <f>'ANNUAL TOTALS'!E7</f>
        <v/>
      </c>
      <c r="F52" s="23">
        <f>'ANNUAL TOTALS'!F7</f>
        <v/>
      </c>
      <c r="G52" s="23">
        <f>'ANNUAL TOTALS'!G7</f>
        <v/>
      </c>
      <c r="H52" s="45">
        <f>'ANNUAL TOTALS'!H7</f>
        <v/>
      </c>
      <c r="I52" s="21">
        <f>IF(G52&gt;0,"Surplus","Deficit")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8" customHeight="1">
      <c r="A53" s="1" t="n"/>
      <c r="B53" s="1" t="n"/>
      <c r="C53" s="4" t="n"/>
      <c r="D53" s="24" t="inlineStr">
        <is>
          <t>FEBRUARY</t>
        </is>
      </c>
      <c r="E53" s="26">
        <f>'ANNUAL TOTALS'!E8</f>
        <v/>
      </c>
      <c r="F53" s="26">
        <f>'ANNUAL TOTALS'!F8</f>
        <v/>
      </c>
      <c r="G53" s="26">
        <f>'ANNUAL TOTALS'!G8</f>
        <v/>
      </c>
      <c r="H53" s="46">
        <f>'ANNUAL TOTALS'!H8</f>
        <v/>
      </c>
      <c r="I53" s="24">
        <f>IF(G53&gt;0,"Surplus","Deficit")</f>
        <v/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8" customHeight="1">
      <c r="A54" s="1" t="n"/>
      <c r="B54" s="1" t="n"/>
      <c r="C54" s="4" t="n"/>
      <c r="D54" s="21" t="inlineStr">
        <is>
          <t>MARCH</t>
        </is>
      </c>
      <c r="E54" s="23">
        <f>'ANNUAL TOTALS'!E9</f>
        <v/>
      </c>
      <c r="F54" s="23">
        <f>'ANNUAL TOTALS'!F9</f>
        <v/>
      </c>
      <c r="G54" s="23">
        <f>'ANNUAL TOTALS'!G9</f>
        <v/>
      </c>
      <c r="H54" s="45">
        <f>'ANNUAL TOTALS'!H9</f>
        <v/>
      </c>
      <c r="I54" s="21">
        <f>IF(G54&gt;0,"Surplus","Deficit")</f>
        <v/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8" customHeight="1">
      <c r="A55" s="1" t="n"/>
      <c r="B55" s="1" t="n"/>
      <c r="C55" s="4" t="n"/>
      <c r="D55" s="24" t="inlineStr">
        <is>
          <t>APRIL</t>
        </is>
      </c>
      <c r="E55" s="26">
        <f>'ANNUAL TOTALS'!E10</f>
        <v/>
      </c>
      <c r="F55" s="26">
        <f>'ANNUAL TOTALS'!F10</f>
        <v/>
      </c>
      <c r="G55" s="26">
        <f>'ANNUAL TOTALS'!G10</f>
        <v/>
      </c>
      <c r="H55" s="46">
        <f>'ANNUAL TOTALS'!H10</f>
        <v/>
      </c>
      <c r="I55" s="24">
        <f>IF(G55&gt;0,"Surplus","Deficit")</f>
        <v/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8" customHeight="1">
      <c r="A56" s="1" t="n"/>
      <c r="B56" s="1" t="n"/>
      <c r="C56" s="4" t="n"/>
      <c r="D56" s="21" t="inlineStr">
        <is>
          <t>MAY</t>
        </is>
      </c>
      <c r="E56" s="23">
        <f>'ANNUAL TOTALS'!E11</f>
        <v/>
      </c>
      <c r="F56" s="23">
        <f>'ANNUAL TOTALS'!F11</f>
        <v/>
      </c>
      <c r="G56" s="23">
        <f>'ANNUAL TOTALS'!G11</f>
        <v/>
      </c>
      <c r="H56" s="45">
        <f>'ANNUAL TOTALS'!H11</f>
        <v/>
      </c>
      <c r="I56" s="21">
        <f>IF(G56&gt;0,"Surplus","Deficit")</f>
        <v/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8" customHeight="1">
      <c r="A57" s="1" t="n"/>
      <c r="B57" s="1" t="n"/>
      <c r="C57" s="4" t="n"/>
      <c r="D57" s="24" t="inlineStr">
        <is>
          <t>JUNE</t>
        </is>
      </c>
      <c r="E57" s="26">
        <f>'ANNUAL TOTALS'!E12</f>
        <v/>
      </c>
      <c r="F57" s="26">
        <f>'ANNUAL TOTALS'!F12</f>
        <v/>
      </c>
      <c r="G57" s="26">
        <f>'ANNUAL TOTALS'!G12</f>
        <v/>
      </c>
      <c r="H57" s="46">
        <f>'ANNUAL TOTALS'!H12</f>
        <v/>
      </c>
      <c r="I57" s="24">
        <f>IF(G57&gt;0,"Surplus","Deficit")</f>
        <v/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8" customHeight="1">
      <c r="A58" s="1" t="n"/>
      <c r="B58" s="1" t="n"/>
      <c r="C58" s="4" t="n"/>
      <c r="D58" s="21" t="inlineStr">
        <is>
          <t>JULY</t>
        </is>
      </c>
      <c r="E58" s="23">
        <f>'ANNUAL TOTALS'!E13</f>
        <v/>
      </c>
      <c r="F58" s="23">
        <f>'ANNUAL TOTALS'!F13</f>
        <v/>
      </c>
      <c r="G58" s="23">
        <f>'ANNUAL TOTALS'!G13</f>
        <v/>
      </c>
      <c r="H58" s="45">
        <f>'ANNUAL TOTALS'!H13</f>
        <v/>
      </c>
      <c r="I58" s="21">
        <f>IF(G58&gt;0,"Surplus","Deficit")</f>
        <v/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8" customHeight="1">
      <c r="A59" s="1" t="n"/>
      <c r="B59" s="1" t="n"/>
      <c r="C59" s="4" t="n"/>
      <c r="D59" s="24" t="inlineStr">
        <is>
          <t>AUGUST</t>
        </is>
      </c>
      <c r="E59" s="26">
        <f>'ANNUAL TOTALS'!E14</f>
        <v/>
      </c>
      <c r="F59" s="26">
        <f>'ANNUAL TOTALS'!F14</f>
        <v/>
      </c>
      <c r="G59" s="26">
        <f>'ANNUAL TOTALS'!G14</f>
        <v/>
      </c>
      <c r="H59" s="46">
        <f>'ANNUAL TOTALS'!H14</f>
        <v/>
      </c>
      <c r="I59" s="24">
        <f>IF(G59&gt;0,"Surplus","Deficit")</f>
        <v/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8" customHeight="1">
      <c r="A60" s="1" t="n"/>
      <c r="B60" s="1" t="n"/>
      <c r="C60" s="4" t="n"/>
      <c r="D60" s="21" t="inlineStr">
        <is>
          <t>SEPTEMBER</t>
        </is>
      </c>
      <c r="E60" s="23">
        <f>'ANNUAL TOTALS'!E15</f>
        <v/>
      </c>
      <c r="F60" s="23">
        <f>'ANNUAL TOTALS'!F15</f>
        <v/>
      </c>
      <c r="G60" s="23">
        <f>'ANNUAL TOTALS'!G15</f>
        <v/>
      </c>
      <c r="H60" s="45">
        <f>'ANNUAL TOTALS'!H15</f>
        <v/>
      </c>
      <c r="I60" s="21">
        <f>IF(G60&gt;0,"Surplus","Deficit")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8" customHeight="1">
      <c r="A61" s="1" t="n"/>
      <c r="B61" s="1" t="n"/>
      <c r="C61" s="4" t="n"/>
      <c r="D61" s="24" t="inlineStr">
        <is>
          <t>OCTOBER</t>
        </is>
      </c>
      <c r="E61" s="26">
        <f>'ANNUAL TOTALS'!E16</f>
        <v/>
      </c>
      <c r="F61" s="26">
        <f>'ANNUAL TOTALS'!F16</f>
        <v/>
      </c>
      <c r="G61" s="26">
        <f>'ANNUAL TOTALS'!G16</f>
        <v/>
      </c>
      <c r="H61" s="46">
        <f>'ANNUAL TOTALS'!H16</f>
        <v/>
      </c>
      <c r="I61" s="24">
        <f>IF(G61&gt;0,"Surplus","Deficit")</f>
        <v/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8" customHeight="1">
      <c r="A62" s="1" t="n"/>
      <c r="B62" s="1" t="n"/>
      <c r="C62" s="4" t="n"/>
      <c r="D62" s="21" t="inlineStr">
        <is>
          <t>NOVEMBER</t>
        </is>
      </c>
      <c r="E62" s="23">
        <f>'ANNUAL TOTALS'!E17</f>
        <v/>
      </c>
      <c r="F62" s="23">
        <f>'ANNUAL TOTALS'!F17</f>
        <v/>
      </c>
      <c r="G62" s="23">
        <f>'ANNUAL TOTALS'!G17</f>
        <v/>
      </c>
      <c r="H62" s="45">
        <f>'ANNUAL TOTALS'!H17</f>
        <v/>
      </c>
      <c r="I62" s="21">
        <f>IF(G62&gt;0,"Surplus","Deficit")</f>
        <v/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8" customHeight="1">
      <c r="A63" s="1" t="n"/>
      <c r="B63" s="1" t="n"/>
      <c r="C63" s="4" t="n"/>
      <c r="D63" s="24" t="inlineStr">
        <is>
          <t>DECEMBER</t>
        </is>
      </c>
      <c r="E63" s="26">
        <f>'ANNUAL TOTALS'!E18</f>
        <v/>
      </c>
      <c r="F63" s="26">
        <f>'ANNUAL TOTALS'!F18</f>
        <v/>
      </c>
      <c r="G63" s="26">
        <f>'ANNUAL TOTALS'!G18</f>
        <v/>
      </c>
      <c r="H63" s="46">
        <f>'ANNUAL TOTALS'!H18</f>
        <v/>
      </c>
      <c r="I63" s="24">
        <f>IF(G63&gt;0,"Surplus","Deficit")</f>
        <v/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inlineStr">
        <is>
          <t>Month</t>
        </is>
      </c>
      <c r="B70" s="1" t="inlineStr">
        <is>
          <t>Income</t>
        </is>
      </c>
      <c r="C70" s="4" t="inlineStr">
        <is>
          <t>Expenses</t>
        </is>
      </c>
      <c r="D70" s="4" t="inlineStr">
        <is>
          <t>Net Savings</t>
        </is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inlineStr">
        <is>
          <t>JAN</t>
        </is>
      </c>
      <c r="B71" s="1">
        <f>'ANNUAL TOTALS'!E7</f>
        <v/>
      </c>
      <c r="C71" s="4">
        <f>'ANNUAL TOTALS'!F7</f>
        <v/>
      </c>
      <c r="D71" s="4">
        <f>'ANNUAL TOTALS'!G7</f>
        <v/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inlineStr">
        <is>
          <t>FEB</t>
        </is>
      </c>
      <c r="B72" s="1">
        <f>'ANNUAL TOTALS'!E8</f>
        <v/>
      </c>
      <c r="C72" s="4">
        <f>'ANNUAL TOTALS'!F8</f>
        <v/>
      </c>
      <c r="D72" s="4">
        <f>'ANNUAL TOTALS'!G8</f>
        <v/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inlineStr">
        <is>
          <t>MAR</t>
        </is>
      </c>
      <c r="B73" s="1">
        <f>'ANNUAL TOTALS'!E9</f>
        <v/>
      </c>
      <c r="C73" s="4">
        <f>'ANNUAL TOTALS'!F9</f>
        <v/>
      </c>
      <c r="D73" s="4">
        <f>'ANNUAL TOTALS'!G9</f>
        <v/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inlineStr">
        <is>
          <t>APR</t>
        </is>
      </c>
      <c r="B74" s="1">
        <f>'ANNUAL TOTALS'!E10</f>
        <v/>
      </c>
      <c r="C74" s="4">
        <f>'ANNUAL TOTALS'!F10</f>
        <v/>
      </c>
      <c r="D74" s="4">
        <f>'ANNUAL TOTALS'!G10</f>
        <v/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inlineStr">
        <is>
          <t>MAY</t>
        </is>
      </c>
      <c r="B75" s="1">
        <f>'ANNUAL TOTALS'!E11</f>
        <v/>
      </c>
      <c r="C75" s="4">
        <f>'ANNUAL TOTALS'!F11</f>
        <v/>
      </c>
      <c r="D75" s="4">
        <f>'ANNUAL TOTALS'!G11</f>
        <v/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inlineStr">
        <is>
          <t>JUN</t>
        </is>
      </c>
      <c r="B76" s="1">
        <f>'ANNUAL TOTALS'!E12</f>
        <v/>
      </c>
      <c r="C76" s="4">
        <f>'ANNUAL TOTALS'!F12</f>
        <v/>
      </c>
      <c r="D76" s="4">
        <f>'ANNUAL TOTALS'!G12</f>
        <v/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inlineStr">
        <is>
          <t>JUL</t>
        </is>
      </c>
      <c r="B77" s="1">
        <f>'ANNUAL TOTALS'!E13</f>
        <v/>
      </c>
      <c r="C77" s="4">
        <f>'ANNUAL TOTALS'!F13</f>
        <v/>
      </c>
      <c r="D77" s="4">
        <f>'ANNUAL TOTALS'!G13</f>
        <v/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inlineStr">
        <is>
          <t>AUG</t>
        </is>
      </c>
      <c r="B78" s="1">
        <f>'ANNUAL TOTALS'!E14</f>
        <v/>
      </c>
      <c r="C78" s="4">
        <f>'ANNUAL TOTALS'!F14</f>
        <v/>
      </c>
      <c r="D78" s="4">
        <f>'ANNUAL TOTALS'!G14</f>
        <v/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inlineStr">
        <is>
          <t>SEP</t>
        </is>
      </c>
      <c r="B79" s="1">
        <f>'ANNUAL TOTALS'!E15</f>
        <v/>
      </c>
      <c r="C79" s="4">
        <f>'ANNUAL TOTALS'!F15</f>
        <v/>
      </c>
      <c r="D79" s="4">
        <f>'ANNUAL TOTALS'!G15</f>
        <v/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inlineStr">
        <is>
          <t>OCT</t>
        </is>
      </c>
      <c r="B80" s="1">
        <f>'ANNUAL TOTALS'!E16</f>
        <v/>
      </c>
      <c r="C80" s="4">
        <f>'ANNUAL TOTALS'!F16</f>
        <v/>
      </c>
      <c r="D80" s="4">
        <f>'ANNUAL TOTALS'!G16</f>
        <v/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inlineStr">
        <is>
          <t>NOV</t>
        </is>
      </c>
      <c r="B81" s="1">
        <f>'ANNUAL TOTALS'!E17</f>
        <v/>
      </c>
      <c r="C81" s="4">
        <f>'ANNUAL TOTALS'!F17</f>
        <v/>
      </c>
      <c r="D81" s="4">
        <f>'ANNUAL TOTALS'!G17</f>
        <v/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inlineStr">
        <is>
          <t>DEC</t>
        </is>
      </c>
      <c r="B82" s="1">
        <f>'ANNUAL TOTALS'!E18</f>
        <v/>
      </c>
      <c r="C82" s="4">
        <f>'ANNUAL TOTALS'!F18</f>
        <v/>
      </c>
      <c r="D82" s="4">
        <f>'ANNUAL TOTALS'!G18</f>
        <v/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inlineStr">
        <is>
          <t>Category</t>
        </is>
      </c>
      <c r="B90" s="1" t="inlineStr">
        <is>
          <t>Annual Total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inlineStr">
        <is>
          <t>Housing</t>
        </is>
      </c>
      <c r="B91" s="1">
        <f>'ANNUAL TOTALS'!Q23</f>
        <v/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inlineStr">
        <is>
          <t>Transportation</t>
        </is>
      </c>
      <c r="B92" s="1">
        <f>'ANNUAL TOTALS'!Q24</f>
        <v/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inlineStr">
        <is>
          <t>Food &amp; Dining</t>
        </is>
      </c>
      <c r="B93" s="1">
        <f>'ANNUAL TOTALS'!Q25</f>
        <v/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inlineStr">
        <is>
          <t>Utilities</t>
        </is>
      </c>
      <c r="B94" s="1">
        <f>'ANNUAL TOTALS'!Q26</f>
        <v/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inlineStr">
        <is>
          <t>Healthcare</t>
        </is>
      </c>
      <c r="B95" s="1">
        <f>'ANNUAL TOTALS'!Q27</f>
        <v/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inlineStr">
        <is>
          <t>Insurance</t>
        </is>
      </c>
      <c r="B96" s="1">
        <f>'ANNUAL TOTALS'!Q28</f>
        <v/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inlineStr">
        <is>
          <t>Entertainment</t>
        </is>
      </c>
      <c r="B97" s="1">
        <f>'ANNUAL TOTALS'!Q29</f>
        <v/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inlineStr">
        <is>
          <t>Shopping</t>
        </is>
      </c>
      <c r="B98" s="1">
        <f>'ANNUAL TOTALS'!Q30</f>
        <v/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inlineStr">
        <is>
          <t>Personal Care</t>
        </is>
      </c>
      <c r="B99" s="1">
        <f>'ANNUAL TOTALS'!Q31</f>
        <v/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inlineStr">
        <is>
          <t>Education</t>
        </is>
      </c>
      <c r="B100" s="1">
        <f>'ANNUAL TOTALS'!Q32</f>
        <v/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inlineStr">
        <is>
          <t>Savings</t>
        </is>
      </c>
      <c r="B101" s="1">
        <f>'ANNUAL TOTALS'!Q33</f>
        <v/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inlineStr">
        <is>
          <t>Investments</t>
        </is>
      </c>
      <c r="B102" s="1">
        <f>'ANNUAL TOTALS'!Q34</f>
        <v/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inlineStr">
        <is>
          <t>Debt Payments</t>
        </is>
      </c>
      <c r="B103" s="1">
        <f>'ANNUAL TOTALS'!Q35</f>
        <v/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inlineStr">
        <is>
          <t>Gifts &amp; Donations</t>
        </is>
      </c>
      <c r="B104" s="1">
        <f>'ANNUAL TOTALS'!Q36</f>
        <v/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inlineStr">
        <is>
          <t>Other</t>
        </is>
      </c>
      <c r="B105" s="1">
        <f>'ANNUAL TOTALS'!Q37</f>
        <v/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inlineStr">
        <is>
          <t>Month</t>
        </is>
      </c>
      <c r="B110" s="1" t="inlineStr">
        <is>
          <t>Cumulative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inlineStr">
        <is>
          <t>JAN</t>
        </is>
      </c>
      <c r="B111" s="1">
        <f>'ANNUAL TOTALS'!H7</f>
        <v/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inlineStr">
        <is>
          <t>FEB</t>
        </is>
      </c>
      <c r="B112" s="1">
        <f>'ANNUAL TOTALS'!H8</f>
        <v/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inlineStr">
        <is>
          <t>MAR</t>
        </is>
      </c>
      <c r="B113" s="1">
        <f>'ANNUAL TOTALS'!H9</f>
        <v/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inlineStr">
        <is>
          <t>APR</t>
        </is>
      </c>
      <c r="B114" s="1">
        <f>'ANNUAL TOTALS'!H10</f>
        <v/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inlineStr">
        <is>
          <t>MAY</t>
        </is>
      </c>
      <c r="B115" s="1">
        <f>'ANNUAL TOTALS'!H11</f>
        <v/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inlineStr">
        <is>
          <t>JUN</t>
        </is>
      </c>
      <c r="B116" s="1">
        <f>'ANNUAL TOTALS'!H12</f>
        <v/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inlineStr">
        <is>
          <t>JUL</t>
        </is>
      </c>
      <c r="B117" s="1">
        <f>'ANNUAL TOTALS'!H13</f>
        <v/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inlineStr">
        <is>
          <t>AUG</t>
        </is>
      </c>
      <c r="B118" s="1">
        <f>'ANNUAL TOTALS'!H14</f>
        <v/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inlineStr">
        <is>
          <t>SEP</t>
        </is>
      </c>
      <c r="B119" s="1">
        <f>'ANNUAL TOTALS'!H15</f>
        <v/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inlineStr">
        <is>
          <t>OCT</t>
        </is>
      </c>
      <c r="B120" s="1">
        <f>'ANNUAL TOTALS'!H16</f>
        <v/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  <row r="121">
      <c r="A121" t="inlineStr">
        <is>
          <t>NOV</t>
        </is>
      </c>
      <c r="B121">
        <f>'ANNUAL TOTALS'!H17</f>
        <v/>
      </c>
    </row>
    <row r="122">
      <c r="A122" t="inlineStr">
        <is>
          <t>DEC</t>
        </is>
      </c>
      <c r="B122">
        <f>'ANNUAL TOTALS'!H18</f>
        <v/>
      </c>
    </row>
  </sheetData>
  <mergeCells count="22">
    <mergeCell ref="I14:L14"/>
    <mergeCell ref="D9:G9"/>
    <mergeCell ref="N13:Q13"/>
    <mergeCell ref="I8:L8"/>
    <mergeCell ref="D12:G12"/>
    <mergeCell ref="D8:G8"/>
    <mergeCell ref="N9:Q9"/>
    <mergeCell ref="D17:O17"/>
    <mergeCell ref="D14:G14"/>
    <mergeCell ref="I13:L13"/>
    <mergeCell ref="I9:L9"/>
    <mergeCell ref="N7:Q7"/>
    <mergeCell ref="D33:O33"/>
    <mergeCell ref="D5:O5"/>
    <mergeCell ref="N12:Q12"/>
    <mergeCell ref="D50:I50"/>
    <mergeCell ref="I7:L7"/>
    <mergeCell ref="D13:G13"/>
    <mergeCell ref="N8:Q8"/>
    <mergeCell ref="N14:Q14"/>
    <mergeCell ref="I12:L12"/>
    <mergeCell ref="D7:G7"/>
  </mergeCells>
  <conditionalFormatting sqref="I52:I63">
    <cfRule type="containsText" priority="1" operator="containsText" dxfId="0" text="Surplus">
      <formula>NOT(ISERROR(SEARCH("Surplus",I52)))</formula>
    </cfRule>
    <cfRule type="containsText" priority="2" operator="containsText" dxfId="2" text="Deficit">
      <formula>NOT(ISERROR(SEARCH("Deficit",I52)))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  <drawing xmlns:r="http://schemas.openxmlformats.org/officeDocument/2006/relationships" r:id="rId30"/>
</worksheet>
</file>

<file path=xl/worksheets/sheet8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ANNUAL TOTALS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ANNUAL INCOME &amp; EXPENSE SUMMARY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Month</t>
        </is>
      </c>
      <c r="E6" s="20" t="inlineStr">
        <is>
          <t>Income (Actual)</t>
        </is>
      </c>
      <c r="F6" s="20" t="inlineStr">
        <is>
          <t>Expenses (Actual)</t>
        </is>
      </c>
      <c r="G6" s="20" t="inlineStr">
        <is>
          <t>Net Savings</t>
        </is>
      </c>
      <c r="H6" s="20" t="inlineStr">
        <is>
          <t>Savings Rate</t>
        </is>
      </c>
      <c r="I6" s="20" t="inlineStr">
        <is>
          <t>Running Total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JANUARY</t>
        </is>
      </c>
      <c r="E7" s="26">
        <f>'JANUARY'!F11</f>
        <v/>
      </c>
      <c r="F7" s="26">
        <f>'JANUARY'!F30</f>
        <v/>
      </c>
      <c r="G7" s="26">
        <f>E7-F7</f>
        <v/>
      </c>
      <c r="H7" s="46">
        <f>IF(E7&gt;0,G7/E7,0)</f>
        <v/>
      </c>
      <c r="I7" s="26">
        <f>G7</f>
        <v/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FEBRUARY</t>
        </is>
      </c>
      <c r="E8" s="23">
        <f>'FEBRUARY'!F11</f>
        <v/>
      </c>
      <c r="F8" s="23">
        <f>'FEBRUARY'!F30</f>
        <v/>
      </c>
      <c r="G8" s="23">
        <f>E8-F8</f>
        <v/>
      </c>
      <c r="H8" s="45">
        <f>IF(E8&gt;0,G8/E8,0)</f>
        <v/>
      </c>
      <c r="I8" s="23">
        <f>H7+G8</f>
        <v/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MARCH</t>
        </is>
      </c>
      <c r="E9" s="26">
        <f>'MARCH'!F11</f>
        <v/>
      </c>
      <c r="F9" s="26">
        <f>'MARCH'!F30</f>
        <v/>
      </c>
      <c r="G9" s="26">
        <f>E9-F9</f>
        <v/>
      </c>
      <c r="H9" s="46">
        <f>IF(E9&gt;0,G9/E9,0)</f>
        <v/>
      </c>
      <c r="I9" s="26">
        <f>H8+G9</f>
        <v/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APRIL</t>
        </is>
      </c>
      <c r="E10" s="23">
        <f>'APRIL'!F11</f>
        <v/>
      </c>
      <c r="F10" s="23">
        <f>'APRIL'!F30</f>
        <v/>
      </c>
      <c r="G10" s="23">
        <f>E10-F10</f>
        <v/>
      </c>
      <c r="H10" s="45">
        <f>IF(E10&gt;0,G10/E10,0)</f>
        <v/>
      </c>
      <c r="I10" s="23">
        <f>H9+G10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MAY</t>
        </is>
      </c>
      <c r="E11" s="26">
        <f>'MAY'!F11</f>
        <v/>
      </c>
      <c r="F11" s="26">
        <f>'MAY'!F30</f>
        <v/>
      </c>
      <c r="G11" s="26">
        <f>E11-F11</f>
        <v/>
      </c>
      <c r="H11" s="46">
        <f>IF(E11&gt;0,G11/E11,0)</f>
        <v/>
      </c>
      <c r="I11" s="26">
        <f>H10+G11</f>
        <v/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8" customHeight="1">
      <c r="A12" s="1" t="n"/>
      <c r="B12" s="11" t="inlineStr">
        <is>
          <t>RECURRING</t>
        </is>
      </c>
      <c r="C12" s="4" t="n"/>
      <c r="D12" s="21" t="inlineStr">
        <is>
          <t>JUNE</t>
        </is>
      </c>
      <c r="E12" s="23">
        <f>'JUNE'!F11</f>
        <v/>
      </c>
      <c r="F12" s="23">
        <f>'JUNE'!F30</f>
        <v/>
      </c>
      <c r="G12" s="23">
        <f>E12-F12</f>
        <v/>
      </c>
      <c r="H12" s="45">
        <f>IF(E12&gt;0,G12/E12,0)</f>
        <v/>
      </c>
      <c r="I12" s="23">
        <f>H11+G12</f>
        <v/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11" t="inlineStr">
        <is>
          <t>PAYMENTS</t>
        </is>
      </c>
      <c r="C13" s="4" t="n"/>
      <c r="D13" s="24" t="inlineStr">
        <is>
          <t>JULY</t>
        </is>
      </c>
      <c r="E13" s="26">
        <f>'JULY'!F11</f>
        <v/>
      </c>
      <c r="F13" s="26">
        <f>'JULY'!F30</f>
        <v/>
      </c>
      <c r="G13" s="26">
        <f>E13-F13</f>
        <v/>
      </c>
      <c r="H13" s="46">
        <f>IF(E13&gt;0,G13/E13,0)</f>
        <v/>
      </c>
      <c r="I13" s="26">
        <f>H12+G13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8" customHeight="1">
      <c r="A14" s="1" t="n"/>
      <c r="B14" s="11" t="inlineStr">
        <is>
          <t>VARIABLE</t>
        </is>
      </c>
      <c r="C14" s="4" t="n"/>
      <c r="D14" s="21" t="inlineStr">
        <is>
          <t>AUGUST</t>
        </is>
      </c>
      <c r="E14" s="23">
        <f>'AUGUST'!F11</f>
        <v/>
      </c>
      <c r="F14" s="23">
        <f>'AUGUST'!F30</f>
        <v/>
      </c>
      <c r="G14" s="23">
        <f>E14-F14</f>
        <v/>
      </c>
      <c r="H14" s="45">
        <f>IF(E14&gt;0,G14/E14,0)</f>
        <v/>
      </c>
      <c r="I14" s="23">
        <f>H13+G14</f>
        <v/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SEPTEMBER</t>
        </is>
      </c>
      <c r="E15" s="26">
        <f>'SEPTEMBER'!F11</f>
        <v/>
      </c>
      <c r="F15" s="26">
        <f>'SEPTEMBER'!F30</f>
        <v/>
      </c>
      <c r="G15" s="26">
        <f>E15-F15</f>
        <v/>
      </c>
      <c r="H15" s="46">
        <f>IF(E15&gt;0,G15/E15,0)</f>
        <v/>
      </c>
      <c r="I15" s="26">
        <f>H14+G15</f>
        <v/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OCTOBER</t>
        </is>
      </c>
      <c r="E16" s="23">
        <f>'OCTOBER'!F11</f>
        <v/>
      </c>
      <c r="F16" s="23">
        <f>'OCTOBER'!F30</f>
        <v/>
      </c>
      <c r="G16" s="23">
        <f>E16-F16</f>
        <v/>
      </c>
      <c r="H16" s="45">
        <f>IF(E16&gt;0,G16/E16,0)</f>
        <v/>
      </c>
      <c r="I16" s="23">
        <f>H15+G16</f>
        <v/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9" t="inlineStr">
        <is>
          <t>ANNUAL TOTALS</t>
        </is>
      </c>
      <c r="C17" s="4" t="n"/>
      <c r="D17" s="24" t="inlineStr">
        <is>
          <t>NOVEMBER</t>
        </is>
      </c>
      <c r="E17" s="26">
        <f>'NOVEMBER'!F11</f>
        <v/>
      </c>
      <c r="F17" s="26">
        <f>'NOVEMBER'!F30</f>
        <v/>
      </c>
      <c r="G17" s="26">
        <f>E17-F17</f>
        <v/>
      </c>
      <c r="H17" s="46">
        <f>IF(E17&gt;0,G17/E17,0)</f>
        <v/>
      </c>
      <c r="I17" s="26">
        <f>H16+G17</f>
        <v/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DECEMBER</t>
        </is>
      </c>
      <c r="E18" s="23">
        <f>'DECEMBER'!F11</f>
        <v/>
      </c>
      <c r="F18" s="23">
        <f>'DECEMBER'!F30</f>
        <v/>
      </c>
      <c r="G18" s="23">
        <f>E18-F18</f>
        <v/>
      </c>
      <c r="H18" s="45">
        <f>IF(E18&gt;0,G18/E18,0)</f>
        <v/>
      </c>
      <c r="I18" s="23">
        <f>H17+G18</f>
        <v/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22" customHeight="1">
      <c r="A19" s="1" t="n"/>
      <c r="B19" s="11" t="inlineStr">
        <is>
          <t>CALENDAR</t>
        </is>
      </c>
      <c r="C19" s="4" t="n"/>
      <c r="D19" s="27" t="inlineStr">
        <is>
          <t>ANNUAL TOTAL</t>
        </is>
      </c>
      <c r="E19" s="28">
        <f>SUM(E7:E18)</f>
        <v/>
      </c>
      <c r="F19" s="28">
        <f>SUM(F7:F18)</f>
        <v/>
      </c>
      <c r="G19" s="28">
        <f>SUM(G7:G18)</f>
        <v/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20" customHeight="1">
      <c r="A21" s="1" t="n"/>
      <c r="B21" s="7" t="inlineStr">
        <is>
          <t>MONTHLY</t>
        </is>
      </c>
      <c r="C21" s="4" t="n"/>
      <c r="D21" s="8" t="inlineStr">
        <is>
          <t xml:space="preserve">  EXPENSE BY CATEGORY — ANNUAL</t>
        </is>
      </c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20" customHeight="1">
      <c r="A22" s="1" t="n"/>
      <c r="B22" s="11" t="inlineStr">
        <is>
          <t>JANUARY</t>
        </is>
      </c>
      <c r="C22" s="4" t="n"/>
      <c r="D22" s="20" t="inlineStr">
        <is>
          <t>Category</t>
        </is>
      </c>
      <c r="E22" s="20" t="inlineStr">
        <is>
          <t>JAN</t>
        </is>
      </c>
      <c r="F22" s="20" t="inlineStr">
        <is>
          <t>FEB</t>
        </is>
      </c>
      <c r="G22" s="20" t="inlineStr">
        <is>
          <t>MAR</t>
        </is>
      </c>
      <c r="H22" s="20" t="inlineStr">
        <is>
          <t>APR</t>
        </is>
      </c>
      <c r="I22" s="20" t="inlineStr">
        <is>
          <t>MAY</t>
        </is>
      </c>
      <c r="J22" s="20" t="inlineStr">
        <is>
          <t>JUN</t>
        </is>
      </c>
      <c r="K22" s="20" t="inlineStr">
        <is>
          <t>JUL</t>
        </is>
      </c>
      <c r="L22" s="20" t="inlineStr">
        <is>
          <t>AUG</t>
        </is>
      </c>
      <c r="M22" s="20" t="inlineStr">
        <is>
          <t>SEP</t>
        </is>
      </c>
      <c r="N22" s="20" t="inlineStr">
        <is>
          <t>OCT</t>
        </is>
      </c>
      <c r="O22" s="20" t="inlineStr">
        <is>
          <t>NOV</t>
        </is>
      </c>
      <c r="P22" s="20" t="inlineStr">
        <is>
          <t>DEC</t>
        </is>
      </c>
      <c r="Q22" s="20" t="inlineStr">
        <is>
          <t>ANNUAL TOTAL</t>
        </is>
      </c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Housing</t>
        </is>
      </c>
      <c r="E23" s="26">
        <f>'JANUARY'!F15</f>
        <v/>
      </c>
      <c r="F23" s="26">
        <f>'FEBRUARY'!F15</f>
        <v/>
      </c>
      <c r="G23" s="26">
        <f>'MARCH'!F15</f>
        <v/>
      </c>
      <c r="H23" s="26">
        <f>'APRIL'!F15</f>
        <v/>
      </c>
      <c r="I23" s="26">
        <f>'MAY'!F15</f>
        <v/>
      </c>
      <c r="J23" s="26">
        <f>'JUNE'!F15</f>
        <v/>
      </c>
      <c r="K23" s="26">
        <f>'JULY'!F15</f>
        <v/>
      </c>
      <c r="L23" s="26">
        <f>'AUGUST'!F15</f>
        <v/>
      </c>
      <c r="M23" s="26">
        <f>'SEPTEMBER'!F15</f>
        <v/>
      </c>
      <c r="N23" s="26">
        <f>'OCTOBER'!F15</f>
        <v/>
      </c>
      <c r="O23" s="26">
        <f>'NOVEMBER'!F15</f>
        <v/>
      </c>
      <c r="P23" s="26">
        <f>'DECEMBER'!F15</f>
        <v/>
      </c>
      <c r="Q23" s="26">
        <f>SUM(E23:P23)</f>
        <v/>
      </c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Transportation</t>
        </is>
      </c>
      <c r="E24" s="23">
        <f>'JANUARY'!F16</f>
        <v/>
      </c>
      <c r="F24" s="23">
        <f>'FEBRUARY'!F16</f>
        <v/>
      </c>
      <c r="G24" s="23">
        <f>'MARCH'!F16</f>
        <v/>
      </c>
      <c r="H24" s="23">
        <f>'APRIL'!F16</f>
        <v/>
      </c>
      <c r="I24" s="23">
        <f>'MAY'!F16</f>
        <v/>
      </c>
      <c r="J24" s="23">
        <f>'JUNE'!F16</f>
        <v/>
      </c>
      <c r="K24" s="23">
        <f>'JULY'!F16</f>
        <v/>
      </c>
      <c r="L24" s="23">
        <f>'AUGUST'!F16</f>
        <v/>
      </c>
      <c r="M24" s="23">
        <f>'SEPTEMBER'!F16</f>
        <v/>
      </c>
      <c r="N24" s="23">
        <f>'OCTOBER'!F16</f>
        <v/>
      </c>
      <c r="O24" s="23">
        <f>'NOVEMBER'!F16</f>
        <v/>
      </c>
      <c r="P24" s="23">
        <f>'DECEMBER'!F16</f>
        <v/>
      </c>
      <c r="Q24" s="23">
        <f>SUM(E24:P24)</f>
        <v/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Food &amp; Dining</t>
        </is>
      </c>
      <c r="E25" s="26">
        <f>'JANUARY'!F17</f>
        <v/>
      </c>
      <c r="F25" s="26">
        <f>'FEBRUARY'!F17</f>
        <v/>
      </c>
      <c r="G25" s="26">
        <f>'MARCH'!F17</f>
        <v/>
      </c>
      <c r="H25" s="26">
        <f>'APRIL'!F17</f>
        <v/>
      </c>
      <c r="I25" s="26">
        <f>'MAY'!F17</f>
        <v/>
      </c>
      <c r="J25" s="26">
        <f>'JUNE'!F17</f>
        <v/>
      </c>
      <c r="K25" s="26">
        <f>'JULY'!F17</f>
        <v/>
      </c>
      <c r="L25" s="26">
        <f>'AUGUST'!F17</f>
        <v/>
      </c>
      <c r="M25" s="26">
        <f>'SEPTEMBER'!F17</f>
        <v/>
      </c>
      <c r="N25" s="26">
        <f>'OCTOBER'!F17</f>
        <v/>
      </c>
      <c r="O25" s="26">
        <f>'NOVEMBER'!F17</f>
        <v/>
      </c>
      <c r="P25" s="26">
        <f>'DECEMBER'!F17</f>
        <v/>
      </c>
      <c r="Q25" s="26">
        <f>SUM(E25:P25)</f>
        <v/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Utilities</t>
        </is>
      </c>
      <c r="E26" s="23">
        <f>'JANUARY'!F18</f>
        <v/>
      </c>
      <c r="F26" s="23">
        <f>'FEBRUARY'!F18</f>
        <v/>
      </c>
      <c r="G26" s="23">
        <f>'MARCH'!F18</f>
        <v/>
      </c>
      <c r="H26" s="23">
        <f>'APRIL'!F18</f>
        <v/>
      </c>
      <c r="I26" s="23">
        <f>'MAY'!F18</f>
        <v/>
      </c>
      <c r="J26" s="23">
        <f>'JUNE'!F18</f>
        <v/>
      </c>
      <c r="K26" s="23">
        <f>'JULY'!F18</f>
        <v/>
      </c>
      <c r="L26" s="23">
        <f>'AUGUST'!F18</f>
        <v/>
      </c>
      <c r="M26" s="23">
        <f>'SEPTEMBER'!F18</f>
        <v/>
      </c>
      <c r="N26" s="23">
        <f>'OCTOBER'!F18</f>
        <v/>
      </c>
      <c r="O26" s="23">
        <f>'NOVEMBER'!F18</f>
        <v/>
      </c>
      <c r="P26" s="23">
        <f>'DECEMBER'!F18</f>
        <v/>
      </c>
      <c r="Q26" s="23">
        <f>SUM(E26:P26)</f>
        <v/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Healthcare</t>
        </is>
      </c>
      <c r="E27" s="26">
        <f>'JANUARY'!F19</f>
        <v/>
      </c>
      <c r="F27" s="26">
        <f>'FEBRUARY'!F19</f>
        <v/>
      </c>
      <c r="G27" s="26">
        <f>'MARCH'!F19</f>
        <v/>
      </c>
      <c r="H27" s="26">
        <f>'APRIL'!F19</f>
        <v/>
      </c>
      <c r="I27" s="26">
        <f>'MAY'!F19</f>
        <v/>
      </c>
      <c r="J27" s="26">
        <f>'JUNE'!F19</f>
        <v/>
      </c>
      <c r="K27" s="26">
        <f>'JULY'!F19</f>
        <v/>
      </c>
      <c r="L27" s="26">
        <f>'AUGUST'!F19</f>
        <v/>
      </c>
      <c r="M27" s="26">
        <f>'SEPTEMBER'!F19</f>
        <v/>
      </c>
      <c r="N27" s="26">
        <f>'OCTOBER'!F19</f>
        <v/>
      </c>
      <c r="O27" s="26">
        <f>'NOVEMBER'!F19</f>
        <v/>
      </c>
      <c r="P27" s="26">
        <f>'DECEMBER'!F19</f>
        <v/>
      </c>
      <c r="Q27" s="26">
        <f>SUM(E27:P27)</f>
        <v/>
      </c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Insurance</t>
        </is>
      </c>
      <c r="E28" s="23">
        <f>'JANUARY'!F20</f>
        <v/>
      </c>
      <c r="F28" s="23">
        <f>'FEBRUARY'!F20</f>
        <v/>
      </c>
      <c r="G28" s="23">
        <f>'MARCH'!F20</f>
        <v/>
      </c>
      <c r="H28" s="23">
        <f>'APRIL'!F20</f>
        <v/>
      </c>
      <c r="I28" s="23">
        <f>'MAY'!F20</f>
        <v/>
      </c>
      <c r="J28" s="23">
        <f>'JUNE'!F20</f>
        <v/>
      </c>
      <c r="K28" s="23">
        <f>'JULY'!F20</f>
        <v/>
      </c>
      <c r="L28" s="23">
        <f>'AUGUST'!F20</f>
        <v/>
      </c>
      <c r="M28" s="23">
        <f>'SEPTEMBER'!F20</f>
        <v/>
      </c>
      <c r="N28" s="23">
        <f>'OCTOBER'!F20</f>
        <v/>
      </c>
      <c r="O28" s="23">
        <f>'NOVEMBER'!F20</f>
        <v/>
      </c>
      <c r="P28" s="23">
        <f>'DECEMBER'!F20</f>
        <v/>
      </c>
      <c r="Q28" s="23">
        <f>SUM(E28:P28)</f>
        <v/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Entertainment</t>
        </is>
      </c>
      <c r="E29" s="26">
        <f>'JANUARY'!F21</f>
        <v/>
      </c>
      <c r="F29" s="26">
        <f>'FEBRUARY'!F21</f>
        <v/>
      </c>
      <c r="G29" s="26">
        <f>'MARCH'!F21</f>
        <v/>
      </c>
      <c r="H29" s="26">
        <f>'APRIL'!F21</f>
        <v/>
      </c>
      <c r="I29" s="26">
        <f>'MAY'!F21</f>
        <v/>
      </c>
      <c r="J29" s="26">
        <f>'JUNE'!F21</f>
        <v/>
      </c>
      <c r="K29" s="26">
        <f>'JULY'!F21</f>
        <v/>
      </c>
      <c r="L29" s="26">
        <f>'AUGUST'!F21</f>
        <v/>
      </c>
      <c r="M29" s="26">
        <f>'SEPTEMBER'!F21</f>
        <v/>
      </c>
      <c r="N29" s="26">
        <f>'OCTOBER'!F21</f>
        <v/>
      </c>
      <c r="O29" s="26">
        <f>'NOVEMBER'!F21</f>
        <v/>
      </c>
      <c r="P29" s="26">
        <f>'DECEMBER'!F21</f>
        <v/>
      </c>
      <c r="Q29" s="26">
        <f>SUM(E29:P29)</f>
        <v/>
      </c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8" customHeight="1">
      <c r="A30" s="1" t="n"/>
      <c r="B30" s="11" t="inlineStr">
        <is>
          <t>SEPTEMBER</t>
        </is>
      </c>
      <c r="C30" s="4" t="n"/>
      <c r="D30" s="21" t="inlineStr">
        <is>
          <t>Shopping</t>
        </is>
      </c>
      <c r="E30" s="23">
        <f>'JANUARY'!F22</f>
        <v/>
      </c>
      <c r="F30" s="23">
        <f>'FEBRUARY'!F22</f>
        <v/>
      </c>
      <c r="G30" s="23">
        <f>'MARCH'!F22</f>
        <v/>
      </c>
      <c r="H30" s="23">
        <f>'APRIL'!F22</f>
        <v/>
      </c>
      <c r="I30" s="23">
        <f>'MAY'!F22</f>
        <v/>
      </c>
      <c r="J30" s="23">
        <f>'JUNE'!F22</f>
        <v/>
      </c>
      <c r="K30" s="23">
        <f>'JULY'!F22</f>
        <v/>
      </c>
      <c r="L30" s="23">
        <f>'AUGUST'!F22</f>
        <v/>
      </c>
      <c r="M30" s="23">
        <f>'SEPTEMBER'!F22</f>
        <v/>
      </c>
      <c r="N30" s="23">
        <f>'OCTOBER'!F22</f>
        <v/>
      </c>
      <c r="O30" s="23">
        <f>'NOVEMBER'!F22</f>
        <v/>
      </c>
      <c r="P30" s="23">
        <f>'DECEMBER'!F22</f>
        <v/>
      </c>
      <c r="Q30" s="23">
        <f>SUM(E30:P30)</f>
        <v/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8" customHeight="1">
      <c r="A31" s="1" t="n"/>
      <c r="B31" s="11" t="inlineStr">
        <is>
          <t>OCTOBER</t>
        </is>
      </c>
      <c r="C31" s="4" t="n"/>
      <c r="D31" s="24" t="inlineStr">
        <is>
          <t>Personal Care</t>
        </is>
      </c>
      <c r="E31" s="26">
        <f>'JANUARY'!F23</f>
        <v/>
      </c>
      <c r="F31" s="26">
        <f>'FEBRUARY'!F23</f>
        <v/>
      </c>
      <c r="G31" s="26">
        <f>'MARCH'!F23</f>
        <v/>
      </c>
      <c r="H31" s="26">
        <f>'APRIL'!F23</f>
        <v/>
      </c>
      <c r="I31" s="26">
        <f>'MAY'!F23</f>
        <v/>
      </c>
      <c r="J31" s="26">
        <f>'JUNE'!F23</f>
        <v/>
      </c>
      <c r="K31" s="26">
        <f>'JULY'!F23</f>
        <v/>
      </c>
      <c r="L31" s="26">
        <f>'AUGUST'!F23</f>
        <v/>
      </c>
      <c r="M31" s="26">
        <f>'SEPTEMBER'!F23</f>
        <v/>
      </c>
      <c r="N31" s="26">
        <f>'OCTOBER'!F23</f>
        <v/>
      </c>
      <c r="O31" s="26">
        <f>'NOVEMBER'!F23</f>
        <v/>
      </c>
      <c r="P31" s="26">
        <f>'DECEMBER'!F23</f>
        <v/>
      </c>
      <c r="Q31" s="26">
        <f>SUM(E31:P31)</f>
        <v/>
      </c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8" customHeight="1">
      <c r="A32" s="1" t="n"/>
      <c r="B32" s="11" t="inlineStr">
        <is>
          <t>NOVEMBER</t>
        </is>
      </c>
      <c r="C32" s="4" t="n"/>
      <c r="D32" s="21" t="inlineStr">
        <is>
          <t>Education</t>
        </is>
      </c>
      <c r="E32" s="23">
        <f>'JANUARY'!F24</f>
        <v/>
      </c>
      <c r="F32" s="23">
        <f>'FEBRUARY'!F24</f>
        <v/>
      </c>
      <c r="G32" s="23">
        <f>'MARCH'!F24</f>
        <v/>
      </c>
      <c r="H32" s="23">
        <f>'APRIL'!F24</f>
        <v/>
      </c>
      <c r="I32" s="23">
        <f>'MAY'!F24</f>
        <v/>
      </c>
      <c r="J32" s="23">
        <f>'JUNE'!F24</f>
        <v/>
      </c>
      <c r="K32" s="23">
        <f>'JULY'!F24</f>
        <v/>
      </c>
      <c r="L32" s="23">
        <f>'AUGUST'!F24</f>
        <v/>
      </c>
      <c r="M32" s="23">
        <f>'SEPTEMBER'!F24</f>
        <v/>
      </c>
      <c r="N32" s="23">
        <f>'OCTOBER'!F24</f>
        <v/>
      </c>
      <c r="O32" s="23">
        <f>'NOVEMBER'!F24</f>
        <v/>
      </c>
      <c r="P32" s="23">
        <f>'DECEMBER'!F24</f>
        <v/>
      </c>
      <c r="Q32" s="23">
        <f>SUM(E32:P32)</f>
        <v/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8" customHeight="1">
      <c r="A33" s="1" t="n"/>
      <c r="B33" s="11" t="inlineStr">
        <is>
          <t>DECEMBER</t>
        </is>
      </c>
      <c r="C33" s="4" t="n"/>
      <c r="D33" s="24" t="inlineStr">
        <is>
          <t>Savings</t>
        </is>
      </c>
      <c r="E33" s="26">
        <f>'JANUARY'!F25</f>
        <v/>
      </c>
      <c r="F33" s="26">
        <f>'FEBRUARY'!F25</f>
        <v/>
      </c>
      <c r="G33" s="26">
        <f>'MARCH'!F25</f>
        <v/>
      </c>
      <c r="H33" s="26">
        <f>'APRIL'!F25</f>
        <v/>
      </c>
      <c r="I33" s="26">
        <f>'MAY'!F25</f>
        <v/>
      </c>
      <c r="J33" s="26">
        <f>'JUNE'!F25</f>
        <v/>
      </c>
      <c r="K33" s="26">
        <f>'JULY'!F25</f>
        <v/>
      </c>
      <c r="L33" s="26">
        <f>'AUGUST'!F25</f>
        <v/>
      </c>
      <c r="M33" s="26">
        <f>'SEPTEMBER'!F25</f>
        <v/>
      </c>
      <c r="N33" s="26">
        <f>'OCTOBER'!F25</f>
        <v/>
      </c>
      <c r="O33" s="26">
        <f>'NOVEMBER'!F25</f>
        <v/>
      </c>
      <c r="P33" s="26">
        <f>'DECEMBER'!F25</f>
        <v/>
      </c>
      <c r="Q33" s="26">
        <f>SUM(E33:P33)</f>
        <v/>
      </c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8" customHeight="1">
      <c r="A34" s="1" t="n"/>
      <c r="B34" s="1" t="n"/>
      <c r="C34" s="4" t="n"/>
      <c r="D34" s="21" t="inlineStr">
        <is>
          <t>Investments</t>
        </is>
      </c>
      <c r="E34" s="23">
        <f>'JANUARY'!F26</f>
        <v/>
      </c>
      <c r="F34" s="23">
        <f>'FEBRUARY'!F26</f>
        <v/>
      </c>
      <c r="G34" s="23">
        <f>'MARCH'!F26</f>
        <v/>
      </c>
      <c r="H34" s="23">
        <f>'APRIL'!F26</f>
        <v/>
      </c>
      <c r="I34" s="23">
        <f>'MAY'!F26</f>
        <v/>
      </c>
      <c r="J34" s="23">
        <f>'JUNE'!F26</f>
        <v/>
      </c>
      <c r="K34" s="23">
        <f>'JULY'!F26</f>
        <v/>
      </c>
      <c r="L34" s="23">
        <f>'AUGUST'!F26</f>
        <v/>
      </c>
      <c r="M34" s="23">
        <f>'SEPTEMBER'!F26</f>
        <v/>
      </c>
      <c r="N34" s="23">
        <f>'OCTOBER'!F26</f>
        <v/>
      </c>
      <c r="O34" s="23">
        <f>'NOVEMBER'!F26</f>
        <v/>
      </c>
      <c r="P34" s="23">
        <f>'DECEMBER'!F26</f>
        <v/>
      </c>
      <c r="Q34" s="23">
        <f>SUM(E34:P34)</f>
        <v/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8" customHeight="1">
      <c r="A35" s="1" t="n"/>
      <c r="B35" s="7" t="inlineStr">
        <is>
          <t>TOOLS</t>
        </is>
      </c>
      <c r="C35" s="4" t="n"/>
      <c r="D35" s="24" t="inlineStr">
        <is>
          <t>Debt Payments</t>
        </is>
      </c>
      <c r="E35" s="26">
        <f>'JANUARY'!F27</f>
        <v/>
      </c>
      <c r="F35" s="26">
        <f>'FEBRUARY'!F27</f>
        <v/>
      </c>
      <c r="G35" s="26">
        <f>'MARCH'!F27</f>
        <v/>
      </c>
      <c r="H35" s="26">
        <f>'APRIL'!F27</f>
        <v/>
      </c>
      <c r="I35" s="26">
        <f>'MAY'!F27</f>
        <v/>
      </c>
      <c r="J35" s="26">
        <f>'JUNE'!F27</f>
        <v/>
      </c>
      <c r="K35" s="26">
        <f>'JULY'!F27</f>
        <v/>
      </c>
      <c r="L35" s="26">
        <f>'AUGUST'!F27</f>
        <v/>
      </c>
      <c r="M35" s="26">
        <f>'SEPTEMBER'!F27</f>
        <v/>
      </c>
      <c r="N35" s="26">
        <f>'OCTOBER'!F27</f>
        <v/>
      </c>
      <c r="O35" s="26">
        <f>'NOVEMBER'!F27</f>
        <v/>
      </c>
      <c r="P35" s="26">
        <f>'DECEMBER'!F27</f>
        <v/>
      </c>
      <c r="Q35" s="26">
        <f>SUM(E35:P35)</f>
        <v/>
      </c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8" customHeight="1">
      <c r="A36" s="1" t="n"/>
      <c r="B36" s="11" t="inlineStr">
        <is>
          <t>50-30-20</t>
        </is>
      </c>
      <c r="C36" s="4" t="n"/>
      <c r="D36" s="21" t="inlineStr">
        <is>
          <t>Gifts &amp; Donations</t>
        </is>
      </c>
      <c r="E36" s="23">
        <f>'JANUARY'!F28</f>
        <v/>
      </c>
      <c r="F36" s="23">
        <f>'FEBRUARY'!F28</f>
        <v/>
      </c>
      <c r="G36" s="23">
        <f>'MARCH'!F28</f>
        <v/>
      </c>
      <c r="H36" s="23">
        <f>'APRIL'!F28</f>
        <v/>
      </c>
      <c r="I36" s="23">
        <f>'MAY'!F28</f>
        <v/>
      </c>
      <c r="J36" s="23">
        <f>'JUNE'!F28</f>
        <v/>
      </c>
      <c r="K36" s="23">
        <f>'JULY'!F28</f>
        <v/>
      </c>
      <c r="L36" s="23">
        <f>'AUGUST'!F28</f>
        <v/>
      </c>
      <c r="M36" s="23">
        <f>'SEPTEMBER'!F28</f>
        <v/>
      </c>
      <c r="N36" s="23">
        <f>'OCTOBER'!F28</f>
        <v/>
      </c>
      <c r="O36" s="23">
        <f>'NOVEMBER'!F28</f>
        <v/>
      </c>
      <c r="P36" s="23">
        <f>'DECEMBER'!F28</f>
        <v/>
      </c>
      <c r="Q36" s="23">
        <f>SUM(E36:P36)</f>
        <v/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8" customHeight="1">
      <c r="A37" s="1" t="n"/>
      <c r="B37" s="11" t="inlineStr">
        <is>
          <t>EXPENSE DIST</t>
        </is>
      </c>
      <c r="C37" s="4" t="n"/>
      <c r="D37" s="24" t="inlineStr">
        <is>
          <t>Other</t>
        </is>
      </c>
      <c r="E37" s="26">
        <f>'JANUARY'!F29</f>
        <v/>
      </c>
      <c r="F37" s="26">
        <f>'FEBRUARY'!F29</f>
        <v/>
      </c>
      <c r="G37" s="26">
        <f>'MARCH'!F29</f>
        <v/>
      </c>
      <c r="H37" s="26">
        <f>'APRIL'!F29</f>
        <v/>
      </c>
      <c r="I37" s="26">
        <f>'MAY'!F29</f>
        <v/>
      </c>
      <c r="J37" s="26">
        <f>'JUNE'!F29</f>
        <v/>
      </c>
      <c r="K37" s="26">
        <f>'JULY'!F29</f>
        <v/>
      </c>
      <c r="L37" s="26">
        <f>'AUGUST'!F29</f>
        <v/>
      </c>
      <c r="M37" s="26">
        <f>'SEPTEMBER'!F29</f>
        <v/>
      </c>
      <c r="N37" s="26">
        <f>'OCTOBER'!F29</f>
        <v/>
      </c>
      <c r="O37" s="26">
        <f>'NOVEMBER'!F29</f>
        <v/>
      </c>
      <c r="P37" s="26">
        <f>'DECEMBER'!F29</f>
        <v/>
      </c>
      <c r="Q37" s="26">
        <f>SUM(E37:P37)</f>
        <v/>
      </c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2">
    <mergeCell ref="D21:R21"/>
    <mergeCell ref="D5:I5"/>
  </mergeCells>
  <conditionalFormatting sqref="E23:E37">
    <cfRule type="dataBar" priority="1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AUTOMATED BILL CALENDAR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ANNUAL BILL PAYMENT CALENDAR</t>
        </is>
      </c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Bill Name</t>
        </is>
      </c>
      <c r="E6" s="20" t="inlineStr">
        <is>
          <t>Amt</t>
        </is>
      </c>
      <c r="F6" s="20" t="inlineStr">
        <is>
          <t>JAN</t>
        </is>
      </c>
      <c r="G6" s="20" t="inlineStr">
        <is>
          <t>FEB</t>
        </is>
      </c>
      <c r="H6" s="20" t="inlineStr">
        <is>
          <t>MAR</t>
        </is>
      </c>
      <c r="I6" s="20" t="inlineStr">
        <is>
          <t>APR</t>
        </is>
      </c>
      <c r="J6" s="20" t="inlineStr">
        <is>
          <t>MAY</t>
        </is>
      </c>
      <c r="K6" s="20" t="inlineStr">
        <is>
          <t>JUN</t>
        </is>
      </c>
      <c r="L6" s="20" t="inlineStr">
        <is>
          <t>JUL</t>
        </is>
      </c>
      <c r="M6" s="20" t="inlineStr">
        <is>
          <t>AUG</t>
        </is>
      </c>
      <c r="N6" s="20" t="inlineStr">
        <is>
          <t>SEP</t>
        </is>
      </c>
      <c r="O6" s="20" t="inlineStr">
        <is>
          <t>OCT</t>
        </is>
      </c>
      <c r="P6" s="20" t="inlineStr">
        <is>
          <t>NOV</t>
        </is>
      </c>
      <c r="Q6" s="20" t="inlineStr">
        <is>
          <t>DEC</t>
        </is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Rent / Mortgage</t>
        </is>
      </c>
      <c r="E7" s="29" t="n">
        <v>1500</v>
      </c>
      <c r="F7" s="24" t="inlineStr">
        <is>
          <t>Due 1</t>
        </is>
      </c>
      <c r="G7" s="24" t="inlineStr">
        <is>
          <t>Due 1</t>
        </is>
      </c>
      <c r="H7" s="24" t="inlineStr">
        <is>
          <t>Due 1</t>
        </is>
      </c>
      <c r="I7" s="24" t="inlineStr">
        <is>
          <t>Due 1</t>
        </is>
      </c>
      <c r="J7" s="24" t="inlineStr">
        <is>
          <t>Due 1</t>
        </is>
      </c>
      <c r="K7" s="24" t="inlineStr">
        <is>
          <t>Due 1</t>
        </is>
      </c>
      <c r="L7" s="24" t="inlineStr">
        <is>
          <t>Due 1</t>
        </is>
      </c>
      <c r="M7" s="24" t="inlineStr">
        <is>
          <t>Due 1</t>
        </is>
      </c>
      <c r="N7" s="24" t="inlineStr">
        <is>
          <t>Due 1</t>
        </is>
      </c>
      <c r="O7" s="24" t="inlineStr">
        <is>
          <t>Due 1</t>
        </is>
      </c>
      <c r="P7" s="24" t="inlineStr">
        <is>
          <t>Due 1</t>
        </is>
      </c>
      <c r="Q7" s="24" t="inlineStr">
        <is>
          <t>Due 1</t>
        </is>
      </c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Car Payment</t>
        </is>
      </c>
      <c r="E8" s="31" t="n">
        <v>385</v>
      </c>
      <c r="F8" s="21" t="inlineStr">
        <is>
          <t>Due 15</t>
        </is>
      </c>
      <c r="G8" s="21" t="inlineStr">
        <is>
          <t>Due 15</t>
        </is>
      </c>
      <c r="H8" s="21" t="inlineStr">
        <is>
          <t>Due 15</t>
        </is>
      </c>
      <c r="I8" s="21" t="inlineStr">
        <is>
          <t>Due 15</t>
        </is>
      </c>
      <c r="J8" s="21" t="inlineStr">
        <is>
          <t>Due 15</t>
        </is>
      </c>
      <c r="K8" s="21" t="inlineStr">
        <is>
          <t>Due 15</t>
        </is>
      </c>
      <c r="L8" s="21" t="inlineStr">
        <is>
          <t>Due 15</t>
        </is>
      </c>
      <c r="M8" s="21" t="inlineStr">
        <is>
          <t>Due 15</t>
        </is>
      </c>
      <c r="N8" s="21" t="inlineStr">
        <is>
          <t>Due 15</t>
        </is>
      </c>
      <c r="O8" s="21" t="inlineStr">
        <is>
          <t>Due 15</t>
        </is>
      </c>
      <c r="P8" s="21" t="inlineStr">
        <is>
          <t>Due 15</t>
        </is>
      </c>
      <c r="Q8" s="21" t="inlineStr">
        <is>
          <t>Due 15</t>
        </is>
      </c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Electric</t>
        </is>
      </c>
      <c r="E9" s="29" t="n">
        <v>120</v>
      </c>
      <c r="F9" s="24" t="inlineStr">
        <is>
          <t>Due 10</t>
        </is>
      </c>
      <c r="G9" s="24" t="inlineStr">
        <is>
          <t>Due 10</t>
        </is>
      </c>
      <c r="H9" s="24" t="inlineStr">
        <is>
          <t>Due 10</t>
        </is>
      </c>
      <c r="I9" s="24" t="inlineStr">
        <is>
          <t>Due 10</t>
        </is>
      </c>
      <c r="J9" s="24" t="inlineStr">
        <is>
          <t>Due 10</t>
        </is>
      </c>
      <c r="K9" s="24" t="inlineStr">
        <is>
          <t>Due 10</t>
        </is>
      </c>
      <c r="L9" s="24" t="inlineStr">
        <is>
          <t>Due 10</t>
        </is>
      </c>
      <c r="M9" s="24" t="inlineStr">
        <is>
          <t>Due 10</t>
        </is>
      </c>
      <c r="N9" s="24" t="inlineStr">
        <is>
          <t>Due 10</t>
        </is>
      </c>
      <c r="O9" s="24" t="inlineStr">
        <is>
          <t>Due 10</t>
        </is>
      </c>
      <c r="P9" s="24" t="inlineStr">
        <is>
          <t>Due 10</t>
        </is>
      </c>
      <c r="Q9" s="24" t="inlineStr">
        <is>
          <t>Due 10</t>
        </is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Internet</t>
        </is>
      </c>
      <c r="E10" s="31" t="n">
        <v>65</v>
      </c>
      <c r="F10" s="21" t="inlineStr">
        <is>
          <t>Due 20</t>
        </is>
      </c>
      <c r="G10" s="21" t="inlineStr">
        <is>
          <t>Due 20</t>
        </is>
      </c>
      <c r="H10" s="21" t="inlineStr">
        <is>
          <t>Due 20</t>
        </is>
      </c>
      <c r="I10" s="21" t="inlineStr">
        <is>
          <t>Due 20</t>
        </is>
      </c>
      <c r="J10" s="21" t="inlineStr">
        <is>
          <t>Due 20</t>
        </is>
      </c>
      <c r="K10" s="21" t="inlineStr">
        <is>
          <t>Due 20</t>
        </is>
      </c>
      <c r="L10" s="21" t="inlineStr">
        <is>
          <t>Due 20</t>
        </is>
      </c>
      <c r="M10" s="21" t="inlineStr">
        <is>
          <t>Due 20</t>
        </is>
      </c>
      <c r="N10" s="21" t="inlineStr">
        <is>
          <t>Due 20</t>
        </is>
      </c>
      <c r="O10" s="21" t="inlineStr">
        <is>
          <t>Due 20</t>
        </is>
      </c>
      <c r="P10" s="21" t="inlineStr">
        <is>
          <t>Due 20</t>
        </is>
      </c>
      <c r="Q10" s="21" t="inlineStr">
        <is>
          <t>Due 20</t>
        </is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Phone</t>
        </is>
      </c>
      <c r="E11" s="29" t="n">
        <v>80</v>
      </c>
      <c r="F11" s="24" t="inlineStr">
        <is>
          <t>Due 25</t>
        </is>
      </c>
      <c r="G11" s="24" t="inlineStr">
        <is>
          <t>Due 25</t>
        </is>
      </c>
      <c r="H11" s="24" t="inlineStr">
        <is>
          <t>Due 25</t>
        </is>
      </c>
      <c r="I11" s="24" t="inlineStr">
        <is>
          <t>Due 25</t>
        </is>
      </c>
      <c r="J11" s="24" t="inlineStr">
        <is>
          <t>Due 25</t>
        </is>
      </c>
      <c r="K11" s="24" t="inlineStr">
        <is>
          <t>Due 25</t>
        </is>
      </c>
      <c r="L11" s="24" t="inlineStr">
        <is>
          <t>Due 25</t>
        </is>
      </c>
      <c r="M11" s="24" t="inlineStr">
        <is>
          <t>Due 25</t>
        </is>
      </c>
      <c r="N11" s="24" t="inlineStr">
        <is>
          <t>Due 25</t>
        </is>
      </c>
      <c r="O11" s="24" t="inlineStr">
        <is>
          <t>Due 25</t>
        </is>
      </c>
      <c r="P11" s="24" t="inlineStr">
        <is>
          <t>Due 25</t>
        </is>
      </c>
      <c r="Q11" s="24" t="inlineStr">
        <is>
          <t>Due 25</t>
        </is>
      </c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8" customHeight="1">
      <c r="A12" s="1" t="n"/>
      <c r="B12" s="11" t="inlineStr">
        <is>
          <t>RECURRING</t>
        </is>
      </c>
      <c r="C12" s="4" t="n"/>
      <c r="D12" s="21" t="inlineStr">
        <is>
          <t>Health Insurance</t>
        </is>
      </c>
      <c r="E12" s="31" t="n">
        <v>220</v>
      </c>
      <c r="F12" s="21" t="inlineStr">
        <is>
          <t>Due 1</t>
        </is>
      </c>
      <c r="G12" s="21" t="inlineStr">
        <is>
          <t>Due 1</t>
        </is>
      </c>
      <c r="H12" s="21" t="inlineStr">
        <is>
          <t>Due 1</t>
        </is>
      </c>
      <c r="I12" s="21" t="inlineStr">
        <is>
          <t>Due 1</t>
        </is>
      </c>
      <c r="J12" s="21" t="inlineStr">
        <is>
          <t>Due 1</t>
        </is>
      </c>
      <c r="K12" s="21" t="inlineStr">
        <is>
          <t>Due 1</t>
        </is>
      </c>
      <c r="L12" s="21" t="inlineStr">
        <is>
          <t>Due 1</t>
        </is>
      </c>
      <c r="M12" s="21" t="inlineStr">
        <is>
          <t>Due 1</t>
        </is>
      </c>
      <c r="N12" s="21" t="inlineStr">
        <is>
          <t>Due 1</t>
        </is>
      </c>
      <c r="O12" s="21" t="inlineStr">
        <is>
          <t>Due 1</t>
        </is>
      </c>
      <c r="P12" s="21" t="inlineStr">
        <is>
          <t>Due 1</t>
        </is>
      </c>
      <c r="Q12" s="21" t="inlineStr">
        <is>
          <t>Due 1</t>
        </is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11" t="inlineStr">
        <is>
          <t>PAYMENTS</t>
        </is>
      </c>
      <c r="C13" s="4" t="n"/>
      <c r="D13" s="24" t="inlineStr">
        <is>
          <t>Car Insurance</t>
        </is>
      </c>
      <c r="E13" s="29" t="n">
        <v>145</v>
      </c>
      <c r="F13" s="24" t="inlineStr">
        <is>
          <t>Due 1</t>
        </is>
      </c>
      <c r="G13" s="24" t="inlineStr">
        <is>
          <t>Due 1</t>
        </is>
      </c>
      <c r="H13" s="24" t="inlineStr">
        <is>
          <t>Due 1</t>
        </is>
      </c>
      <c r="I13" s="24" t="inlineStr">
        <is>
          <t>Due 1</t>
        </is>
      </c>
      <c r="J13" s="24" t="inlineStr">
        <is>
          <t>Due 1</t>
        </is>
      </c>
      <c r="K13" s="24" t="inlineStr">
        <is>
          <t>Due 1</t>
        </is>
      </c>
      <c r="L13" s="24" t="inlineStr">
        <is>
          <t>Due 1</t>
        </is>
      </c>
      <c r="M13" s="24" t="inlineStr">
        <is>
          <t>Due 1</t>
        </is>
      </c>
      <c r="N13" s="24" t="inlineStr">
        <is>
          <t>Due 1</t>
        </is>
      </c>
      <c r="O13" s="24" t="inlineStr">
        <is>
          <t>Due 1</t>
        </is>
      </c>
      <c r="P13" s="24" t="inlineStr">
        <is>
          <t>Due 1</t>
        </is>
      </c>
      <c r="Q13" s="24" t="inlineStr">
        <is>
          <t>Due 1</t>
        </is>
      </c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8" customHeight="1">
      <c r="A14" s="1" t="n"/>
      <c r="B14" s="11" t="inlineStr">
        <is>
          <t>VARIABLE</t>
        </is>
      </c>
      <c r="C14" s="4" t="n"/>
      <c r="D14" s="21" t="inlineStr">
        <is>
          <t>Gym</t>
        </is>
      </c>
      <c r="E14" s="31" t="n">
        <v>45</v>
      </c>
      <c r="F14" s="21" t="inlineStr">
        <is>
          <t>Due 1</t>
        </is>
      </c>
      <c r="G14" s="21" t="inlineStr">
        <is>
          <t>Due 1</t>
        </is>
      </c>
      <c r="H14" s="21" t="inlineStr">
        <is>
          <t>Due 1</t>
        </is>
      </c>
      <c r="I14" s="21" t="inlineStr">
        <is>
          <t>Due 1</t>
        </is>
      </c>
      <c r="J14" s="21" t="inlineStr">
        <is>
          <t>Due 1</t>
        </is>
      </c>
      <c r="K14" s="21" t="inlineStr">
        <is>
          <t>Due 1</t>
        </is>
      </c>
      <c r="L14" s="21" t="inlineStr">
        <is>
          <t>Due 1</t>
        </is>
      </c>
      <c r="M14" s="21" t="inlineStr">
        <is>
          <t>Due 1</t>
        </is>
      </c>
      <c r="N14" s="21" t="inlineStr">
        <is>
          <t>Due 1</t>
        </is>
      </c>
      <c r="O14" s="21" t="inlineStr">
        <is>
          <t>Due 1</t>
        </is>
      </c>
      <c r="P14" s="21" t="inlineStr">
        <is>
          <t>Due 1</t>
        </is>
      </c>
      <c r="Q14" s="21" t="inlineStr">
        <is>
          <t>Due 1</t>
        </is>
      </c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Netflix</t>
        </is>
      </c>
      <c r="E15" s="29" t="n">
        <v>15.99</v>
      </c>
      <c r="F15" s="24" t="inlineStr">
        <is>
          <t>Due 7</t>
        </is>
      </c>
      <c r="G15" s="24" t="inlineStr">
        <is>
          <t>Due 7</t>
        </is>
      </c>
      <c r="H15" s="24" t="inlineStr">
        <is>
          <t>Due 7</t>
        </is>
      </c>
      <c r="I15" s="24" t="inlineStr">
        <is>
          <t>Due 7</t>
        </is>
      </c>
      <c r="J15" s="24" t="inlineStr">
        <is>
          <t>Due 7</t>
        </is>
      </c>
      <c r="K15" s="24" t="inlineStr">
        <is>
          <t>Due 7</t>
        </is>
      </c>
      <c r="L15" s="24" t="inlineStr">
        <is>
          <t>Due 7</t>
        </is>
      </c>
      <c r="M15" s="24" t="inlineStr">
        <is>
          <t>Due 7</t>
        </is>
      </c>
      <c r="N15" s="24" t="inlineStr">
        <is>
          <t>Due 7</t>
        </is>
      </c>
      <c r="O15" s="24" t="inlineStr">
        <is>
          <t>Due 7</t>
        </is>
      </c>
      <c r="P15" s="24" t="inlineStr">
        <is>
          <t>Due 7</t>
        </is>
      </c>
      <c r="Q15" s="24" t="inlineStr">
        <is>
          <t>Due 7</t>
        </is>
      </c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Spotify</t>
        </is>
      </c>
      <c r="E16" s="31" t="n">
        <v>9.99</v>
      </c>
      <c r="F16" s="21" t="inlineStr">
        <is>
          <t>Due 14</t>
        </is>
      </c>
      <c r="G16" s="21" t="inlineStr">
        <is>
          <t>Due 14</t>
        </is>
      </c>
      <c r="H16" s="21" t="inlineStr">
        <is>
          <t>Due 14</t>
        </is>
      </c>
      <c r="I16" s="21" t="inlineStr">
        <is>
          <t>Due 14</t>
        </is>
      </c>
      <c r="J16" s="21" t="inlineStr">
        <is>
          <t>Due 14</t>
        </is>
      </c>
      <c r="K16" s="21" t="inlineStr">
        <is>
          <t>Due 14</t>
        </is>
      </c>
      <c r="L16" s="21" t="inlineStr">
        <is>
          <t>Due 14</t>
        </is>
      </c>
      <c r="M16" s="21" t="inlineStr">
        <is>
          <t>Due 14</t>
        </is>
      </c>
      <c r="N16" s="21" t="inlineStr">
        <is>
          <t>Due 14</t>
        </is>
      </c>
      <c r="O16" s="21" t="inlineStr">
        <is>
          <t>Due 14</t>
        </is>
      </c>
      <c r="P16" s="21" t="inlineStr">
        <is>
          <t>Due 14</t>
        </is>
      </c>
      <c r="Q16" s="21" t="inlineStr">
        <is>
          <t>Due 14</t>
        </is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6" customHeight="1">
      <c r="A17" s="1" t="n"/>
      <c r="B17" s="11" t="inlineStr">
        <is>
          <t>ANNUAL TOTALS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20" customHeight="1">
      <c r="A18" s="1" t="n"/>
      <c r="B18" s="11" t="inlineStr">
        <is>
          <t>PAYCHECK</t>
        </is>
      </c>
      <c r="C18" s="4" t="n"/>
      <c r="D18" s="27" t="inlineStr">
        <is>
          <t>MONTHLY TOTAL</t>
        </is>
      </c>
      <c r="E18" s="37">
        <f>SUM(E7:E17)</f>
        <v/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9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">
    <mergeCell ref="D5:Q5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6" customWidth="1" min="4" max="4"/>
    <col width="20" customWidth="1" min="5" max="5"/>
    <col width="16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PAYCHECK DASHBOARD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PAYCHECK LOG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Pay Date</t>
        </is>
      </c>
      <c r="E6" s="20" t="inlineStr">
        <is>
          <t>Pay Period</t>
        </is>
      </c>
      <c r="F6" s="20" t="inlineStr">
        <is>
          <t>Gross Pay</t>
        </is>
      </c>
      <c r="G6" s="20" t="inlineStr">
        <is>
          <t>Federal Tax</t>
        </is>
      </c>
      <c r="H6" s="20" t="inlineStr">
        <is>
          <t>State Tax</t>
        </is>
      </c>
      <c r="I6" s="20" t="inlineStr">
        <is>
          <t>Other Deductions</t>
        </is>
      </c>
      <c r="J6" s="20" t="inlineStr">
        <is>
          <t>Net Pay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38" t="inlineStr">
        <is>
          <t>01/15/2025</t>
        </is>
      </c>
      <c r="E7" s="24" t="inlineStr">
        <is>
          <t>Jan 1–15</t>
        </is>
      </c>
      <c r="F7" s="29" t="n">
        <v>2500</v>
      </c>
      <c r="G7" s="29" t="n">
        <v>375</v>
      </c>
      <c r="H7" s="29" t="n">
        <v>125</v>
      </c>
      <c r="I7" s="29" t="n">
        <v>185</v>
      </c>
      <c r="J7" s="30">
        <f>E7-F7-G7-H7</f>
        <v/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39" t="inlineStr">
        <is>
          <t>01/31/2025</t>
        </is>
      </c>
      <c r="E8" s="21" t="inlineStr">
        <is>
          <t>Jan 16–31</t>
        </is>
      </c>
      <c r="F8" s="31" t="n">
        <v>2500</v>
      </c>
      <c r="G8" s="31" t="n">
        <v>375</v>
      </c>
      <c r="H8" s="31" t="n">
        <v>125</v>
      </c>
      <c r="I8" s="31" t="n">
        <v>185</v>
      </c>
      <c r="J8" s="32">
        <f>E8-F8-G8-H8</f>
        <v/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38" t="inlineStr">
        <is>
          <t>02/14/2025</t>
        </is>
      </c>
      <c r="E9" s="24" t="inlineStr">
        <is>
          <t>Feb 1–14</t>
        </is>
      </c>
      <c r="F9" s="29" t="n">
        <v>2500</v>
      </c>
      <c r="G9" s="29" t="n">
        <v>375</v>
      </c>
      <c r="H9" s="29" t="n">
        <v>125</v>
      </c>
      <c r="I9" s="29" t="n">
        <v>185</v>
      </c>
      <c r="J9" s="30">
        <f>E9-F9-G9-H9</f>
        <v/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39" t="inlineStr">
        <is>
          <t>02/28/2025</t>
        </is>
      </c>
      <c r="E10" s="21" t="inlineStr">
        <is>
          <t>Feb 15–28</t>
        </is>
      </c>
      <c r="F10" s="31" t="n">
        <v>2500</v>
      </c>
      <c r="G10" s="31" t="n">
        <v>375</v>
      </c>
      <c r="H10" s="31" t="n">
        <v>125</v>
      </c>
      <c r="I10" s="31" t="n">
        <v>185</v>
      </c>
      <c r="J10" s="32">
        <f>E10-F10-G10-H10</f>
        <v/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38" t="inlineStr">
        <is>
          <t>03/15/2025</t>
        </is>
      </c>
      <c r="E11" s="24" t="inlineStr">
        <is>
          <t>Mar 1–15</t>
        </is>
      </c>
      <c r="F11" s="29" t="n">
        <v>2500</v>
      </c>
      <c r="G11" s="29" t="n">
        <v>375</v>
      </c>
      <c r="H11" s="29" t="n">
        <v>125</v>
      </c>
      <c r="I11" s="29" t="n">
        <v>185</v>
      </c>
      <c r="J11" s="30">
        <f>E11-F11-G11-H11</f>
        <v/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27" t="inlineStr">
        <is>
          <t>YTD TOTALS</t>
        </is>
      </c>
      <c r="E13" s="37">
        <f>SUM(E7:E12)</f>
        <v/>
      </c>
      <c r="F13" s="37">
        <f>SUM(F7:F12)</f>
        <v/>
      </c>
      <c r="G13" s="37">
        <f>SUM(G7:G12)</f>
        <v/>
      </c>
      <c r="H13" s="37">
        <f>SUM(H7:H12)</f>
        <v/>
      </c>
      <c r="I13" s="37">
        <f>SUM(I7:I12)</f>
        <v/>
      </c>
      <c r="J13" s="37">
        <f>SUM(J7:J12)</f>
        <v/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6" customHeight="1">
      <c r="A14" s="1" t="n"/>
      <c r="B14" s="11" t="inlineStr">
        <is>
          <t>VARIABLE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0" customHeight="1">
      <c r="A15" s="1" t="n"/>
      <c r="B15" s="1" t="n"/>
      <c r="C15" s="4" t="n"/>
      <c r="D15" s="8" t="inlineStr">
        <is>
          <t xml:space="preserve">  YTD SUMMARY</t>
        </is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5" customHeight="1">
      <c r="A16" s="1" t="n"/>
      <c r="B16" s="7" t="inlineStr">
        <is>
          <t>ANALYTICS</t>
        </is>
      </c>
      <c r="C16" s="4" t="n"/>
      <c r="D16" s="2" t="n"/>
      <c r="E16" s="2" t="n"/>
      <c r="F16" s="2" t="n"/>
      <c r="G16" s="2" t="n"/>
      <c r="H16" s="4" t="n"/>
      <c r="I16" s="2" t="n"/>
      <c r="J16" s="2" t="n"/>
      <c r="K16" s="2" t="n"/>
      <c r="L16" s="2" t="n"/>
      <c r="M16" s="4" t="n"/>
      <c r="N16" s="2" t="n"/>
      <c r="O16" s="2" t="n"/>
      <c r="P16" s="2" t="n"/>
      <c r="Q16" s="2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34" customHeight="1">
      <c r="A17" s="1" t="n"/>
      <c r="B17" s="11" t="inlineStr">
        <is>
          <t>ANNUAL TOTALS</t>
        </is>
      </c>
      <c r="C17" s="4" t="n"/>
      <c r="D17" s="40">
        <f>E13</f>
        <v/>
      </c>
      <c r="E17" s="41" t="n"/>
      <c r="F17" s="41" t="n"/>
      <c r="G17" s="41" t="n"/>
      <c r="H17" s="4" t="n"/>
      <c r="I17" s="40">
        <f>J13</f>
        <v/>
      </c>
      <c r="J17" s="41" t="n"/>
      <c r="K17" s="41" t="n"/>
      <c r="L17" s="41" t="n"/>
      <c r="M17" s="4" t="n"/>
      <c r="N17" s="44">
        <f>IF(E13&gt;0,(F13+G13)/E13,0)</f>
        <v/>
      </c>
      <c r="O17" s="41" t="n"/>
      <c r="P17" s="41" t="n"/>
      <c r="Q17" s="41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9" t="inlineStr">
        <is>
          <t>PAYCHECK</t>
        </is>
      </c>
      <c r="C18" s="4" t="n"/>
      <c r="D18" s="42" t="inlineStr">
        <is>
          <t>YTD GROSS PAY</t>
        </is>
      </c>
      <c r="E18" s="41" t="n"/>
      <c r="F18" s="41" t="n"/>
      <c r="G18" s="41" t="n"/>
      <c r="H18" s="4" t="n"/>
      <c r="I18" s="42" t="inlineStr">
        <is>
          <t>YTD NET PAY</t>
        </is>
      </c>
      <c r="J18" s="41" t="n"/>
      <c r="K18" s="41" t="n"/>
      <c r="L18" s="41" t="n"/>
      <c r="M18" s="4" t="n"/>
      <c r="N18" s="42" t="inlineStr">
        <is>
          <t>EFFECTIVE TAX RATE</t>
        </is>
      </c>
      <c r="O18" s="41" t="n"/>
      <c r="P18" s="41" t="n"/>
      <c r="Q18" s="41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8" customHeight="1">
      <c r="A19" s="1" t="n"/>
      <c r="B19" s="11" t="inlineStr">
        <is>
          <t>CALENDAR</t>
        </is>
      </c>
      <c r="C19" s="4" t="n"/>
      <c r="D19" s="43" t="n"/>
      <c r="E19" s="41" t="n"/>
      <c r="F19" s="41" t="n"/>
      <c r="G19" s="41" t="n"/>
      <c r="H19" s="4" t="n"/>
      <c r="I19" s="43" t="n"/>
      <c r="J19" s="41" t="n"/>
      <c r="K19" s="41" t="n"/>
      <c r="L19" s="41" t="n"/>
      <c r="M19" s="4" t="n"/>
      <c r="N19" s="43" t="n"/>
      <c r="O19" s="41" t="n"/>
      <c r="P19" s="41" t="n"/>
      <c r="Q19" s="41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1">
    <mergeCell ref="D18:G18"/>
    <mergeCell ref="D15:L15"/>
    <mergeCell ref="D17:G17"/>
    <mergeCell ref="I17:L17"/>
    <mergeCell ref="I18:L18"/>
    <mergeCell ref="N17:Q17"/>
    <mergeCell ref="D19:G19"/>
    <mergeCell ref="I19:L19"/>
    <mergeCell ref="D5:J5"/>
    <mergeCell ref="N18:Q18"/>
    <mergeCell ref="N19:Q19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JANUARY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JANUARY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JANUARY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9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FEBRUARY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FEBRUARY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FEBRUARY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9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MARCH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MARCH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MARCH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9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APRIL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APRIL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APRIL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9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MAY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MAY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MAY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9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JUNE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JUNE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JUNE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9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JULY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JULY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JULY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9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AUGUST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AUGUST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AUGUST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9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SEPTEMBER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SEPTEMBER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SEPTEMBER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9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OCTOBER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OCTOBER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OCTOBER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9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NOVEMBER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NOVEMBER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NOVEMBER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9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11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4" customWidth="1" min="4" max="4"/>
    <col width="30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DECEMBER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INCOME  —  DECEMBER 2025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Source</t>
        </is>
      </c>
      <c r="E6" s="20" t="inlineStr">
        <is>
          <t>Budgeted</t>
        </is>
      </c>
      <c r="F6" s="20" t="inlineStr">
        <is>
          <t>Actual</t>
        </is>
      </c>
      <c r="G6" s="20" t="inlineStr">
        <is>
          <t>Difference</t>
        </is>
      </c>
      <c r="H6" s="20" t="inlineStr">
        <is>
          <t>Notes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Primary Salary</t>
        </is>
      </c>
      <c r="E7" s="29" t="n">
        <v>5000</v>
      </c>
      <c r="F7" s="29" t="n">
        <v>5000</v>
      </c>
      <c r="G7" s="30">
        <f>F7-E7</f>
        <v/>
      </c>
      <c r="H7" s="24" t="inlineStr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Side Income</t>
        </is>
      </c>
      <c r="E8" s="31" t="n">
        <v>500</v>
      </c>
      <c r="F8" s="31" t="n">
        <v>0</v>
      </c>
      <c r="G8" s="32">
        <f>F8-E8</f>
        <v/>
      </c>
      <c r="H8" s="21" t="inlineStr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Other</t>
        </is>
      </c>
      <c r="E9" s="29" t="n">
        <v>0</v>
      </c>
      <c r="F9" s="29" t="n">
        <v>0</v>
      </c>
      <c r="G9" s="30">
        <f>F9-E9</f>
        <v/>
      </c>
      <c r="H9" s="24" t="inlineStr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27" t="inlineStr">
        <is>
          <t>TOTAL INCOME</t>
        </is>
      </c>
      <c r="E11" s="37">
        <f>SUM(E7:E10)</f>
        <v/>
      </c>
      <c r="F11" s="37">
        <f>SUM(F7:F10)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8" t="inlineStr">
        <is>
          <t xml:space="preserve">  EXPENSES  —  DECEMBER 2025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1" t="n"/>
      <c r="B14" s="11" t="inlineStr">
        <is>
          <t>VARIABLE</t>
        </is>
      </c>
      <c r="C14" s="4" t="n"/>
      <c r="D14" s="20" t="inlineStr">
        <is>
          <t>Category</t>
        </is>
      </c>
      <c r="E14" s="20" t="inlineStr">
        <is>
          <t>Budget</t>
        </is>
      </c>
      <c r="F14" s="20" t="inlineStr">
        <is>
          <t>Actual Spent</t>
        </is>
      </c>
      <c r="G14" s="20" t="inlineStr">
        <is>
          <t>Remaining</t>
        </is>
      </c>
      <c r="H14" s="20" t="inlineStr">
        <is>
          <t>% Used</t>
        </is>
      </c>
      <c r="I14" s="20" t="inlineStr">
        <is>
          <t>Notes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Housing</t>
        </is>
      </c>
      <c r="E15" s="29" t="n">
        <v>1500</v>
      </c>
      <c r="F15" s="47" t="n">
        <v>0</v>
      </c>
      <c r="G15" s="30">
        <f>E15-F15</f>
        <v/>
      </c>
      <c r="H15" s="48">
        <f>IF(E15&gt;0,F15/E15,0)</f>
        <v/>
      </c>
      <c r="I15" s="2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Transportation</t>
        </is>
      </c>
      <c r="E16" s="31" t="n">
        <v>400</v>
      </c>
      <c r="F16" s="47" t="n">
        <v>0</v>
      </c>
      <c r="G16" s="32">
        <f>E16-F16</f>
        <v/>
      </c>
      <c r="H16" s="49">
        <f>IF(E16&gt;0,F16/E16,0)</f>
        <v/>
      </c>
      <c r="I16" s="21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Food &amp; Dining</t>
        </is>
      </c>
      <c r="E17" s="29" t="n">
        <v>600</v>
      </c>
      <c r="F17" s="47" t="n">
        <v>0</v>
      </c>
      <c r="G17" s="30">
        <f>E17-F17</f>
        <v/>
      </c>
      <c r="H17" s="48">
        <f>IF(E17&gt;0,F17/E17,0)</f>
        <v/>
      </c>
      <c r="I17" s="2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Utilities</t>
        </is>
      </c>
      <c r="E18" s="31" t="n">
        <v>200</v>
      </c>
      <c r="F18" s="47" t="n">
        <v>0</v>
      </c>
      <c r="G18" s="32">
        <f>E18-F18</f>
        <v/>
      </c>
      <c r="H18" s="49">
        <f>IF(E18&gt;0,F18/E18,0)</f>
        <v/>
      </c>
      <c r="I18" s="21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Healthcare</t>
        </is>
      </c>
      <c r="E19" s="29" t="n">
        <v>150</v>
      </c>
      <c r="F19" s="47" t="n">
        <v>0</v>
      </c>
      <c r="G19" s="30">
        <f>E19-F19</f>
        <v/>
      </c>
      <c r="H19" s="48">
        <f>IF(E19&gt;0,F19/E19,0)</f>
        <v/>
      </c>
      <c r="I19" s="2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Insurance</t>
        </is>
      </c>
      <c r="E20" s="31" t="n">
        <v>250</v>
      </c>
      <c r="F20" s="47" t="n">
        <v>0</v>
      </c>
      <c r="G20" s="32">
        <f>E20-F20</f>
        <v/>
      </c>
      <c r="H20" s="49">
        <f>IF(E20&gt;0,F20/E20,0)</f>
        <v/>
      </c>
      <c r="I20" s="21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Entertainment</t>
        </is>
      </c>
      <c r="E21" s="29" t="n">
        <v>150</v>
      </c>
      <c r="F21" s="47" t="n">
        <v>0</v>
      </c>
      <c r="G21" s="30">
        <f>E21-F21</f>
        <v/>
      </c>
      <c r="H21" s="48">
        <f>IF(E21&gt;0,F21/E21,0)</f>
        <v/>
      </c>
      <c r="I21" s="2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Shopping</t>
        </is>
      </c>
      <c r="E22" s="31" t="n">
        <v>200</v>
      </c>
      <c r="F22" s="47" t="n">
        <v>0</v>
      </c>
      <c r="G22" s="32">
        <f>E22-F22</f>
        <v/>
      </c>
      <c r="H22" s="49">
        <f>IF(E22&gt;0,F22/E22,0)</f>
        <v/>
      </c>
      <c r="I22" s="21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Personal Care</t>
        </is>
      </c>
      <c r="E23" s="29" t="n">
        <v>100</v>
      </c>
      <c r="F23" s="47" t="n">
        <v>0</v>
      </c>
      <c r="G23" s="30">
        <f>E23-F23</f>
        <v/>
      </c>
      <c r="H23" s="48">
        <f>IF(E23&gt;0,F23/E23,0)</f>
        <v/>
      </c>
      <c r="I23" s="2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21" t="inlineStr">
        <is>
          <t>Education</t>
        </is>
      </c>
      <c r="E24" s="31" t="n">
        <v>50</v>
      </c>
      <c r="F24" s="47" t="n">
        <v>0</v>
      </c>
      <c r="G24" s="32">
        <f>E24-F24</f>
        <v/>
      </c>
      <c r="H24" s="49">
        <f>IF(E24&gt;0,F24/E24,0)</f>
        <v/>
      </c>
      <c r="I24" s="21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24" t="inlineStr">
        <is>
          <t>Savings</t>
        </is>
      </c>
      <c r="E25" s="29" t="n">
        <v>500</v>
      </c>
      <c r="F25" s="47" t="n">
        <v>0</v>
      </c>
      <c r="G25" s="30">
        <f>E25-F25</f>
        <v/>
      </c>
      <c r="H25" s="48">
        <f>IF(E25&gt;0,F25/E25,0)</f>
        <v/>
      </c>
      <c r="I25" s="2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21" t="inlineStr">
        <is>
          <t>Investments</t>
        </is>
      </c>
      <c r="E26" s="31" t="n">
        <v>300</v>
      </c>
      <c r="F26" s="47" t="n">
        <v>0</v>
      </c>
      <c r="G26" s="32">
        <f>E26-F26</f>
        <v/>
      </c>
      <c r="H26" s="49">
        <f>IF(E26&gt;0,F26/E26,0)</f>
        <v/>
      </c>
      <c r="I26" s="21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24" t="inlineStr">
        <is>
          <t>Debt Payments</t>
        </is>
      </c>
      <c r="E27" s="29" t="n">
        <v>200</v>
      </c>
      <c r="F27" s="47" t="n">
        <v>0</v>
      </c>
      <c r="G27" s="30">
        <f>E27-F27</f>
        <v/>
      </c>
      <c r="H27" s="48">
        <f>IF(E27&gt;0,F27/E27,0)</f>
        <v/>
      </c>
      <c r="I27" s="2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21" t="inlineStr">
        <is>
          <t>Gifts &amp; Donations</t>
        </is>
      </c>
      <c r="E28" s="31" t="n">
        <v>100</v>
      </c>
      <c r="F28" s="47" t="n">
        <v>0</v>
      </c>
      <c r="G28" s="32">
        <f>E28-F28</f>
        <v/>
      </c>
      <c r="H28" s="49">
        <f>IF(E28&gt;0,F28/E28,0)</f>
        <v/>
      </c>
      <c r="I28" s="21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24" t="inlineStr">
        <is>
          <t>Other</t>
        </is>
      </c>
      <c r="E29" s="29" t="n">
        <v>100</v>
      </c>
      <c r="F29" s="47" t="n">
        <v>0</v>
      </c>
      <c r="G29" s="30">
        <f>E29-F29</f>
        <v/>
      </c>
      <c r="H29" s="48">
        <f>IF(E29&gt;0,F29/E29,0)</f>
        <v/>
      </c>
      <c r="I29" s="2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1" t="n"/>
      <c r="B30" s="11" t="inlineStr">
        <is>
          <t>SEPTEMBER</t>
        </is>
      </c>
      <c r="C30" s="4" t="n"/>
      <c r="D30" s="27" t="inlineStr">
        <is>
          <t>TOTAL EXPENSES</t>
        </is>
      </c>
      <c r="E30" s="37">
        <f>SUM(E15:E29)</f>
        <v/>
      </c>
      <c r="F30" s="37">
        <f>SUM(F15:F29)</f>
        <v/>
      </c>
      <c r="G30" s="37">
        <f>SUM(G15:G29)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1" t="n"/>
      <c r="B32" s="11" t="inlineStr">
        <is>
          <t>NOVEMBER</t>
        </is>
      </c>
      <c r="C32" s="4" t="n"/>
      <c r="D32" s="8" t="inlineStr">
        <is>
          <t xml:space="preserve">  MONTHLY SUMMARY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6" customHeight="1">
      <c r="A33" s="1" t="n"/>
      <c r="B33" s="9" t="inlineStr">
        <is>
          <t>DECEMBER</t>
        </is>
      </c>
      <c r="C33" s="4" t="n"/>
      <c r="D33" s="33" t="inlineStr">
        <is>
          <t>Net Savings  (Actual Income − Actual Expenses)</t>
        </is>
      </c>
      <c r="G33" s="50">
        <f>F11-F30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13:J13"/>
    <mergeCell ref="D33:F33"/>
    <mergeCell ref="D5:J5"/>
    <mergeCell ref="D32:G32"/>
  </mergeCells>
  <conditionalFormatting sqref="H15:H29">
    <cfRule type="cellIs" priority="1" operator="greaterThan" dxfId="3">
      <formula>1</formula>
    </cfRule>
    <cfRule type="cellIs" priority="2" operator="between" dxfId="1">
      <formula>0.85</formula>
      <formula>1</formula>
    </cfRule>
  </conditionalFormatting>
  <conditionalFormatting sqref="F15:F29">
    <cfRule type="dataBar" priority="3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8" customWidth="1" min="4" max="4"/>
    <col width="12" customWidth="1" min="5" max="5"/>
    <col width="16" customWidth="1" min="6" max="6"/>
    <col width="16" customWidth="1" min="7" max="7"/>
    <col width="14" customWidth="1" min="8" max="8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50/30/20 BUDGET DASHBOARD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THE 50/30/20 BUDGET RULE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2" customHeight="1">
      <c r="A6" s="1" t="n"/>
      <c r="B6" s="11" t="inlineStr">
        <is>
          <t>INSTRUCTIONS</t>
        </is>
      </c>
      <c r="C6" s="4" t="n"/>
      <c r="D6" s="12" t="inlineStr">
        <is>
          <t>Monthly Net Income (from Setup)</t>
        </is>
      </c>
      <c r="G6" s="19">
        <f>SETUP!F31</f>
        <v/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6" customHeight="1">
      <c r="A7" s="1" t="n"/>
      <c r="B7" s="11" t="inlineStr">
        <is>
          <t>SETUP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20" customHeight="1">
      <c r="A8" s="1" t="n"/>
      <c r="B8" s="11" t="inlineStr">
        <is>
          <t>DASHBOARD</t>
        </is>
      </c>
      <c r="C8" s="4" t="n"/>
      <c r="D8" s="20" t="inlineStr">
        <is>
          <t>Category</t>
        </is>
      </c>
      <c r="E8" s="20" t="inlineStr">
        <is>
          <t>Rule %</t>
        </is>
      </c>
      <c r="F8" s="20" t="inlineStr">
        <is>
          <t>Target Amount</t>
        </is>
      </c>
      <c r="G8" s="20" t="inlineStr">
        <is>
          <t>Actual (Annual Totals)</t>
        </is>
      </c>
      <c r="H8" s="20" t="inlineStr">
        <is>
          <t>Status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22" customHeight="1">
      <c r="A9" s="1" t="n"/>
      <c r="B9" s="1" t="n"/>
      <c r="C9" s="4" t="n"/>
      <c r="D9" s="24" t="inlineStr">
        <is>
          <t>NEEDS — Housing, Transport, Utilities, Healthcare, Insurance</t>
        </is>
      </c>
      <c r="E9" s="51" t="n">
        <v>0.5</v>
      </c>
      <c r="F9" s="26">
        <f>G6*0.50</f>
        <v/>
      </c>
      <c r="G9" s="26">
        <f>('ANNUAL TOTALS'!Q23+'ANNUAL TOTALS'!Q24+'ANNUAL TOTALS'!Q26+'ANNUAL TOTALS'!Q25+'ANNUAL TOTALS'!Q27)/12</f>
        <v/>
      </c>
      <c r="H9" s="24">
        <f>IF(H9&lt;=F9,"On Track ✓","Over Budget ✗")</f>
        <v/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22" customHeight="1">
      <c r="A10" s="1" t="n"/>
      <c r="B10" s="7" t="inlineStr">
        <is>
          <t>ACCOUNTS</t>
        </is>
      </c>
      <c r="C10" s="4" t="n"/>
      <c r="D10" s="21" t="inlineStr">
        <is>
          <t>WANTS — Entertainment, Shopping, Food &amp; Dining, Personal Care</t>
        </is>
      </c>
      <c r="E10" s="52" t="n">
        <v>0.3</v>
      </c>
      <c r="F10" s="23">
        <f>G6*0.30</f>
        <v/>
      </c>
      <c r="G10" s="23">
        <f>('ANNUAL TOTALS'!Q25+'ANNUAL TOTALS'!Q30+'ANNUAL TOTALS'!Q29+'ANNUAL TOTALS'!Q31)/12</f>
        <v/>
      </c>
      <c r="H10" s="21">
        <f>IF(H10&lt;=F10,"On Track ✓","Over Budget ✗")</f>
        <v/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2" customHeight="1">
      <c r="A11" s="1" t="n"/>
      <c r="B11" s="11" t="inlineStr">
        <is>
          <t>BANK ACCOUNTS</t>
        </is>
      </c>
      <c r="C11" s="4" t="n"/>
      <c r="D11" s="24" t="inlineStr">
        <is>
          <t>SAVINGS &amp; DEBT — Savings, Investments, Debt Payments</t>
        </is>
      </c>
      <c r="E11" s="51" t="n">
        <v>0.2</v>
      </c>
      <c r="F11" s="26">
        <f>G6*0.20</f>
        <v/>
      </c>
      <c r="G11" s="26">
        <f>('ANNUAL TOTALS'!Q33+'ANNUAL TOTALS'!Q34+'ANNUAL TOTALS'!Q35)/12</f>
        <v/>
      </c>
      <c r="H11" s="24">
        <f>IF(H11&lt;=F11,"On Track ✓","Over Budget ✗")</f>
        <v/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20" customHeight="1">
      <c r="A12" s="1" t="n"/>
      <c r="B12" s="11" t="inlineStr">
        <is>
          <t>RECURRING</t>
        </is>
      </c>
      <c r="C12" s="4" t="n"/>
      <c r="D12" s="8" t="inlineStr">
        <is>
          <t xml:space="preserve">  HOW THE 50/30/20 RULE WORKS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2" customHeight="1">
      <c r="A13" s="1" t="n"/>
      <c r="B13" s="11" t="inlineStr">
        <is>
          <t>PAYMENTS</t>
        </is>
      </c>
      <c r="C13" s="4" t="n"/>
      <c r="D13" s="12" t="inlineStr">
        <is>
          <t>50% NEEDS</t>
        </is>
      </c>
      <c r="E13" s="13" t="inlineStr">
        <is>
          <t>Essentials you must pay — rent, groceries, utilities, insurance, minimum debt payments.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2" customHeight="1">
      <c r="A14" s="1" t="n"/>
      <c r="B14" s="11" t="inlineStr">
        <is>
          <t>VARIABLE</t>
        </is>
      </c>
      <c r="C14" s="4" t="n"/>
      <c r="D14" s="12" t="inlineStr">
        <is>
          <t>30% WANTS</t>
        </is>
      </c>
      <c r="E14" s="13" t="inlineStr">
        <is>
          <t>Non-essentials that improve quality of life — dining out, streaming, hobbies, travel.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2" customHeight="1">
      <c r="A15" s="1" t="n"/>
      <c r="B15" s="1" t="n"/>
      <c r="C15" s="4" t="n"/>
      <c r="D15" s="12" t="inlineStr">
        <is>
          <t>20% SAVINGS</t>
        </is>
      </c>
      <c r="E15" s="13" t="inlineStr">
        <is>
          <t>Savings, investments, and extra debt repayment to build long-term wealth.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6" customHeight="1">
      <c r="A16" s="1" t="n"/>
      <c r="B16" s="7" t="inlineStr">
        <is>
          <t>ANALYTICS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6" customHeight="1">
      <c r="A17" s="1" t="n"/>
      <c r="B17" s="11" t="inlineStr">
        <is>
          <t>ANNUAL TOTALS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6" customHeight="1">
      <c r="A18" s="1" t="n"/>
      <c r="B18" s="11" t="inlineStr">
        <is>
          <t>PAYCHECK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9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6">
    <mergeCell ref="E14:H14"/>
    <mergeCell ref="D12:H12"/>
    <mergeCell ref="D5:H5"/>
    <mergeCell ref="E15:H15"/>
    <mergeCell ref="D6:F6"/>
    <mergeCell ref="E13:H13"/>
  </mergeCells>
  <conditionalFormatting sqref="H9:H11">
    <cfRule type="dataBar" priority="1">
      <dataBar>
        <cfvo type="num" val="0"/>
        <cfvo type="max"/>
        <color rgb="003D8A85"/>
      </dataBar>
    </cfRule>
  </conditionalFormatting>
  <conditionalFormatting sqref="I9:I11">
    <cfRule type="containsText" priority="2" operator="containsText" dxfId="0" text="On Track">
      <formula>NOT(ISERROR(SEARCH("On Track",I9)))</formula>
    </cfRule>
    <cfRule type="containsText" priority="3" operator="containsText" dxfId="2" text="Over Budget">
      <formula>NOT(ISERROR(SEARCH("Over Budget",I9)))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5" customWidth="1" min="4" max="4"/>
    <col width="16" customWidth="1" min="5" max="5"/>
    <col width="16" customWidth="1" min="6" max="6"/>
    <col width="16" customWidth="1" min="7" max="7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EXPENSE DISTRIBUTION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ANNUAL EXPENSE DISTRIBUTION BY CATEGORY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Category</t>
        </is>
      </c>
      <c r="E6" s="20" t="inlineStr">
        <is>
          <t>Annual Budget</t>
        </is>
      </c>
      <c r="F6" s="20" t="inlineStr">
        <is>
          <t>Annual Actual</t>
        </is>
      </c>
      <c r="G6" s="20" t="inlineStr">
        <is>
          <t>% of Total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Housing</t>
        </is>
      </c>
      <c r="E7" s="25" t="n">
        <v>18000</v>
      </c>
      <c r="F7" s="26">
        <f>'ANNUAL TOTALS'!Q23</f>
        <v/>
      </c>
      <c r="G7" s="46">
        <f>IF(SUM(F7:F21)&gt;0,F7/SUM(F7:F21),0)</f>
        <v/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Transportation</t>
        </is>
      </c>
      <c r="E8" s="22" t="n">
        <v>4800</v>
      </c>
      <c r="F8" s="23">
        <f>'ANNUAL TOTALS'!Q24</f>
        <v/>
      </c>
      <c r="G8" s="45">
        <f>IF(SUM(F7:F21)&gt;0,F8/SUM(F7:F21),0)</f>
        <v/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Food &amp; Dining</t>
        </is>
      </c>
      <c r="E9" s="25" t="n">
        <v>7200</v>
      </c>
      <c r="F9" s="26">
        <f>'ANNUAL TOTALS'!Q25</f>
        <v/>
      </c>
      <c r="G9" s="46">
        <f>IF(SUM(F7:F21)&gt;0,F9/SUM(F7:F21),0)</f>
        <v/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Utilities</t>
        </is>
      </c>
      <c r="E10" s="22" t="n">
        <v>2400</v>
      </c>
      <c r="F10" s="23">
        <f>'ANNUAL TOTALS'!Q26</f>
        <v/>
      </c>
      <c r="G10" s="45">
        <f>IF(SUM(F7:F21)&gt;0,F10/SUM(F7:F21),0)</f>
        <v/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Healthcare</t>
        </is>
      </c>
      <c r="E11" s="25" t="n">
        <v>1800</v>
      </c>
      <c r="F11" s="26">
        <f>'ANNUAL TOTALS'!Q27</f>
        <v/>
      </c>
      <c r="G11" s="46">
        <f>IF(SUM(F7:F21)&gt;0,F11/SUM(F7:F21),0)</f>
        <v/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8" customHeight="1">
      <c r="A12" s="1" t="n"/>
      <c r="B12" s="11" t="inlineStr">
        <is>
          <t>RECURRING</t>
        </is>
      </c>
      <c r="C12" s="4" t="n"/>
      <c r="D12" s="21" t="inlineStr">
        <is>
          <t>Insurance</t>
        </is>
      </c>
      <c r="E12" s="22" t="n">
        <v>3000</v>
      </c>
      <c r="F12" s="23">
        <f>'ANNUAL TOTALS'!Q28</f>
        <v/>
      </c>
      <c r="G12" s="45">
        <f>IF(SUM(F7:F21)&gt;0,F12/SUM(F7:F21),0)</f>
        <v/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11" t="inlineStr">
        <is>
          <t>PAYMENTS</t>
        </is>
      </c>
      <c r="C13" s="4" t="n"/>
      <c r="D13" s="24" t="inlineStr">
        <is>
          <t>Entertainment</t>
        </is>
      </c>
      <c r="E13" s="25" t="n">
        <v>1800</v>
      </c>
      <c r="F13" s="26">
        <f>'ANNUAL TOTALS'!Q29</f>
        <v/>
      </c>
      <c r="G13" s="46">
        <f>IF(SUM(F7:F21)&gt;0,F13/SUM(F7:F21),0)</f>
        <v/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8" customHeight="1">
      <c r="A14" s="1" t="n"/>
      <c r="B14" s="11" t="inlineStr">
        <is>
          <t>VARIABLE</t>
        </is>
      </c>
      <c r="C14" s="4" t="n"/>
      <c r="D14" s="21" t="inlineStr">
        <is>
          <t>Shopping</t>
        </is>
      </c>
      <c r="E14" s="22" t="n">
        <v>2400</v>
      </c>
      <c r="F14" s="23">
        <f>'ANNUAL TOTALS'!Q30</f>
        <v/>
      </c>
      <c r="G14" s="45">
        <f>IF(SUM(F7:F21)&gt;0,F14/SUM(F7:F21),0)</f>
        <v/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24" t="inlineStr">
        <is>
          <t>Personal Care</t>
        </is>
      </c>
      <c r="E15" s="25" t="n">
        <v>1200</v>
      </c>
      <c r="F15" s="26">
        <f>'ANNUAL TOTALS'!Q31</f>
        <v/>
      </c>
      <c r="G15" s="46">
        <f>IF(SUM(F7:F21)&gt;0,F15/SUM(F7:F21),0)</f>
        <v/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21" t="inlineStr">
        <is>
          <t>Education</t>
        </is>
      </c>
      <c r="E16" s="22" t="n">
        <v>600</v>
      </c>
      <c r="F16" s="23">
        <f>'ANNUAL TOTALS'!Q32</f>
        <v/>
      </c>
      <c r="G16" s="45">
        <f>IF(SUM(F7:F21)&gt;0,F16/SUM(F7:F21),0)</f>
        <v/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24" t="inlineStr">
        <is>
          <t>Savings</t>
        </is>
      </c>
      <c r="E17" s="25" t="n">
        <v>6000</v>
      </c>
      <c r="F17" s="26">
        <f>'ANNUAL TOTALS'!Q33</f>
        <v/>
      </c>
      <c r="G17" s="46">
        <f>IF(SUM(F7:F21)&gt;0,F17/SUM(F7:F21),0)</f>
        <v/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21" t="inlineStr">
        <is>
          <t>Investments</t>
        </is>
      </c>
      <c r="E18" s="22" t="n">
        <v>3600</v>
      </c>
      <c r="F18" s="23">
        <f>'ANNUAL TOTALS'!Q34</f>
        <v/>
      </c>
      <c r="G18" s="45">
        <f>IF(SUM(F7:F21)&gt;0,F18/SUM(F7:F21),0)</f>
        <v/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Debt Payments</t>
        </is>
      </c>
      <c r="E19" s="25" t="n">
        <v>2400</v>
      </c>
      <c r="F19" s="26">
        <f>'ANNUAL TOTALS'!Q35</f>
        <v/>
      </c>
      <c r="G19" s="46">
        <f>IF(SUM(F7:F21)&gt;0,F19/SUM(F7:F21),0)</f>
        <v/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Gifts &amp; Donations</t>
        </is>
      </c>
      <c r="E20" s="22" t="n">
        <v>1200</v>
      </c>
      <c r="F20" s="23">
        <f>'ANNUAL TOTALS'!Q36</f>
        <v/>
      </c>
      <c r="G20" s="45">
        <f>IF(SUM(F7:F21)&gt;0,F20/SUM(F7:F21),0)</f>
        <v/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Other</t>
        </is>
      </c>
      <c r="E21" s="25" t="n">
        <v>1200</v>
      </c>
      <c r="F21" s="26">
        <f>'ANNUAL TOTALS'!Q37</f>
        <v/>
      </c>
      <c r="G21" s="46">
        <f>IF(SUM(F7:F21)&gt;0,F21/SUM(F7:F21),0)</f>
        <v/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20" customHeight="1">
      <c r="A22" s="1" t="n"/>
      <c r="B22" s="11" t="inlineStr">
        <is>
          <t>JANUARY</t>
        </is>
      </c>
      <c r="C22" s="4" t="n"/>
      <c r="D22" s="27" t="inlineStr">
        <is>
          <t>TOTAL</t>
        </is>
      </c>
      <c r="E22" s="28">
        <f>SUM(E7:E21)</f>
        <v/>
      </c>
      <c r="F22" s="28">
        <f>SUM(F7:F21)</f>
        <v/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9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">
    <mergeCell ref="D5:G5"/>
  </mergeCells>
  <conditionalFormatting sqref="F7:F21">
    <cfRule type="dataBar" priority="1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2" customWidth="1" min="4" max="4"/>
    <col width="15" customWidth="1" min="5" max="5"/>
    <col width="16" customWidth="1" min="6" max="6"/>
    <col width="18" customWidth="1" min="7" max="7"/>
    <col width="12" customWidth="1" min="8" max="8"/>
    <col width="12" customWidth="1" min="9" max="9"/>
    <col width="15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SINKING FUNDS TRACKER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SINKING FUNDS TRACKER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Fund Name</t>
        </is>
      </c>
      <c r="E6" s="20" t="inlineStr">
        <is>
          <t>Goal Amount</t>
        </is>
      </c>
      <c r="F6" s="20" t="inlineStr">
        <is>
          <t>Current Balance</t>
        </is>
      </c>
      <c r="G6" s="20" t="inlineStr">
        <is>
          <t>Monthly Contribution</t>
        </is>
      </c>
      <c r="H6" s="20" t="inlineStr">
        <is>
          <t>Months Left</t>
        </is>
      </c>
      <c r="I6" s="20" t="inlineStr">
        <is>
          <t>% Complete</t>
        </is>
      </c>
      <c r="J6" s="20" t="inlineStr">
        <is>
          <t>Target Date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Emergency Fund</t>
        </is>
      </c>
      <c r="E7" s="25" t="n">
        <v>10000</v>
      </c>
      <c r="F7" s="25" t="n">
        <v>4500</v>
      </c>
      <c r="G7" s="25" t="n">
        <v>500</v>
      </c>
      <c r="H7" s="53">
        <f>CEILING(MAX(0,(E7-F7)/G7),1)</f>
        <v/>
      </c>
      <c r="I7" s="48">
        <f>MIN(1,F7/E7)</f>
        <v/>
      </c>
      <c r="J7" s="38" t="inlineStr">
        <is>
          <t>12/31/2025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Car Repair Fund</t>
        </is>
      </c>
      <c r="E8" s="22" t="n">
        <v>2000</v>
      </c>
      <c r="F8" s="22" t="n">
        <v>800</v>
      </c>
      <c r="G8" s="22" t="n">
        <v>150</v>
      </c>
      <c r="H8" s="54">
        <f>CEILING(MAX(0,(E8-F8)/G8),1)</f>
        <v/>
      </c>
      <c r="I8" s="49">
        <f>MIN(1,F8/E8)</f>
        <v/>
      </c>
      <c r="J8" s="39" t="inlineStr">
        <is>
          <t>06/30/2025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Vacation Fund</t>
        </is>
      </c>
      <c r="E9" s="25" t="n">
        <v>3000</v>
      </c>
      <c r="F9" s="25" t="n">
        <v>1200</v>
      </c>
      <c r="G9" s="25" t="n">
        <v>250</v>
      </c>
      <c r="H9" s="53">
        <f>CEILING(MAX(0,(E9-F9)/G9),1)</f>
        <v/>
      </c>
      <c r="I9" s="48">
        <f>MIN(1,F9/E9)</f>
        <v/>
      </c>
      <c r="J9" s="38" t="inlineStr">
        <is>
          <t>08/01/2025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Home Repair Fund</t>
        </is>
      </c>
      <c r="E10" s="22" t="n">
        <v>5000</v>
      </c>
      <c r="F10" s="22" t="n">
        <v>2000</v>
      </c>
      <c r="G10" s="22" t="n">
        <v>300</v>
      </c>
      <c r="H10" s="54">
        <f>CEILING(MAX(0,(E10-F10)/G10),1)</f>
        <v/>
      </c>
      <c r="I10" s="49">
        <f>MIN(1,F10/E10)</f>
        <v/>
      </c>
      <c r="J10" s="39" t="inlineStr">
        <is>
          <t>12/31/2025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Holiday Gifts</t>
        </is>
      </c>
      <c r="E11" s="25" t="n">
        <v>1500</v>
      </c>
      <c r="F11" s="25" t="n">
        <v>500</v>
      </c>
      <c r="G11" s="25" t="n">
        <v>100</v>
      </c>
      <c r="H11" s="53">
        <f>CEILING(MAX(0,(E11-F11)/G11),1)</f>
        <v/>
      </c>
      <c r="I11" s="48">
        <f>MIN(1,F11/E11)</f>
        <v/>
      </c>
      <c r="J11" s="38" t="inlineStr">
        <is>
          <t>11/30/2025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8" customHeight="1">
      <c r="A12" s="1" t="n"/>
      <c r="B12" s="11" t="inlineStr">
        <is>
          <t>RECURRING</t>
        </is>
      </c>
      <c r="C12" s="4" t="n"/>
      <c r="D12" s="21" t="inlineStr">
        <is>
          <t>New Laptop</t>
        </is>
      </c>
      <c r="E12" s="22" t="n">
        <v>2000</v>
      </c>
      <c r="F12" s="22" t="n">
        <v>600</v>
      </c>
      <c r="G12" s="22" t="n">
        <v>200</v>
      </c>
      <c r="H12" s="54">
        <f>CEILING(MAX(0,(E12-F12)/G12),1)</f>
        <v/>
      </c>
      <c r="I12" s="49">
        <f>MIN(1,F12/E12)</f>
        <v/>
      </c>
      <c r="J12" s="39" t="inlineStr">
        <is>
          <t>09/01/2025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6" customHeight="1">
      <c r="A13" s="1" t="n"/>
      <c r="B13" s="11" t="inlineStr">
        <is>
          <t>PAYMENTS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6" customHeight="1">
      <c r="A14" s="1" t="n"/>
      <c r="B14" s="11" t="inlineStr">
        <is>
          <t>VARIABLE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6" customHeight="1">
      <c r="A15" s="1" t="n"/>
      <c r="B15" s="1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6" customHeight="1">
      <c r="A16" s="1" t="n"/>
      <c r="B16" s="7" t="inlineStr">
        <is>
          <t>ANALYTICS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6" customHeight="1">
      <c r="A17" s="1" t="n"/>
      <c r="B17" s="11" t="inlineStr">
        <is>
          <t>ANNUAL TOTALS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6" customHeight="1">
      <c r="A18" s="1" t="n"/>
      <c r="B18" s="11" t="inlineStr">
        <is>
          <t>PAYCHECK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9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">
    <mergeCell ref="D5:J5"/>
  </mergeCells>
  <conditionalFormatting sqref="I7:I20">
    <cfRule type="dataBar" priority="1">
      <dataBar>
        <cfvo type="num" val="0"/>
        <cfvo type="num" val="1"/>
        <color rgb="00C9A84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2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  <col width="16" customWidth="1" min="10" max="10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DEBT PAYOFF CALCULATOR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DEBT PAYOFF CALCULATOR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Debt Name</t>
        </is>
      </c>
      <c r="E6" s="20" t="inlineStr">
        <is>
          <t>Current Balance</t>
        </is>
      </c>
      <c r="F6" s="20" t="inlineStr">
        <is>
          <t>Interest Rate (APR)</t>
        </is>
      </c>
      <c r="G6" s="20" t="inlineStr">
        <is>
          <t>Min Payment</t>
        </is>
      </c>
      <c r="H6" s="20" t="inlineStr">
        <is>
          <t>Extra Payment</t>
        </is>
      </c>
      <c r="I6" s="20" t="inlineStr">
        <is>
          <t>Payoff Date (Est.)</t>
        </is>
      </c>
      <c r="J6" s="20" t="inlineStr">
        <is>
          <t>Total Interest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Credit Card A</t>
        </is>
      </c>
      <c r="E7" s="29" t="n">
        <v>3500</v>
      </c>
      <c r="F7" s="55" t="n">
        <v>0.2199</v>
      </c>
      <c r="G7" s="29" t="n">
        <v>70</v>
      </c>
      <c r="H7" s="29" t="n">
        <v>100</v>
      </c>
      <c r="I7" s="56">
        <f>EDATE(TODAY(),=IF(F7=0,CEILING(E7/(=G7+H7),1),CEILING(NPER(=F7/12,-(=G7+H7),E7),1)))</f>
        <v/>
      </c>
      <c r="J7" s="30">
        <f>IF(F7=0,0,MAX(0,(=G7+H7)*=IF(F7=0,CEILING(E7/(=G7+H7),1),CEILING(NPER(=F7/12,-(=G7+H7),E7),1))-E7))</f>
        <v/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Credit Card B</t>
        </is>
      </c>
      <c r="E8" s="31" t="n">
        <v>1200</v>
      </c>
      <c r="F8" s="57" t="n">
        <v>0.1799</v>
      </c>
      <c r="G8" s="31" t="n">
        <v>25</v>
      </c>
      <c r="H8" s="31" t="n">
        <v>50</v>
      </c>
      <c r="I8" s="58">
        <f>EDATE(TODAY(),=IF(F8=0,CEILING(E8/(=G8+H8),1),CEILING(NPER(=F8/12,-(=G8+H8),E8),1)))</f>
        <v/>
      </c>
      <c r="J8" s="32">
        <f>IF(F8=0,0,MAX(0,(=G8+H8)*=IF(F8=0,CEILING(E8/(=G8+H8),1),CEILING(NPER(=F8/12,-(=G8+H8),E8),1))-E8))</f>
        <v/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Student Loan</t>
        </is>
      </c>
      <c r="E9" s="29" t="n">
        <v>15000</v>
      </c>
      <c r="F9" s="55" t="n">
        <v>0.0675</v>
      </c>
      <c r="G9" s="29" t="n">
        <v>150</v>
      </c>
      <c r="H9" s="29" t="n">
        <v>200</v>
      </c>
      <c r="I9" s="56">
        <f>EDATE(TODAY(),=IF(F9=0,CEILING(E9/(=G9+H9),1),CEILING(NPER(=F9/12,-(=G9+H9),E9),1)))</f>
        <v/>
      </c>
      <c r="J9" s="30">
        <f>IF(F9=0,0,MAX(0,(=G9+H9)*=IF(F9=0,CEILING(E9/(=G9+H9),1),CEILING(NPER(=F9/12,-(=G9+H9),E9),1))-E9))</f>
        <v/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Car Loan</t>
        </is>
      </c>
      <c r="E10" s="31" t="n">
        <v>12000</v>
      </c>
      <c r="F10" s="57" t="n">
        <v>0.0499</v>
      </c>
      <c r="G10" s="31" t="n">
        <v>385</v>
      </c>
      <c r="H10" s="31" t="n">
        <v>0</v>
      </c>
      <c r="I10" s="58">
        <f>EDATE(TODAY(),=IF(F10=0,CEILING(E10/(=G10+H10),1),CEILING(NPER(=F10/12,-(=G10+H10),E10),1)))</f>
        <v/>
      </c>
      <c r="J10" s="32">
        <f>IF(F10=0,0,MAX(0,(=G10+H10)*=IF(F10=0,CEILING(E10/(=G10+H10),1),CEILING(NPER(=F10/12,-(=G10+H10),E10),1))-E10))</f>
        <v/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Medical Bill</t>
        </is>
      </c>
      <c r="E11" s="29" t="n">
        <v>800</v>
      </c>
      <c r="F11" s="55" t="n">
        <v>0</v>
      </c>
      <c r="G11" s="29" t="n">
        <v>100</v>
      </c>
      <c r="H11" s="29" t="n">
        <v>100</v>
      </c>
      <c r="I11" s="56">
        <f>EDATE(TODAY(),=IF(F11=0,CEILING(E11/(=G11+H11),1),CEILING(NPER(=F11/12,-(=G11+H11),E11),1)))</f>
        <v/>
      </c>
      <c r="J11" s="30">
        <f>IF(F11=0,0,MAX(0,(=G11+H11)*=IF(F11=0,CEILING(E11/(=G11+H11),1),CEILING(NPER(=F11/12,-(=G11+H11),E11),1))-E11))</f>
        <v/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6" customHeight="1">
      <c r="A12" s="1" t="n"/>
      <c r="B12" s="11" t="inlineStr">
        <is>
          <t>RECURRING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1" t="n"/>
      <c r="B13" s="11" t="inlineStr">
        <is>
          <t>PAYMENTS</t>
        </is>
      </c>
      <c r="C13" s="4" t="n"/>
      <c r="D13" s="27" t="inlineStr">
        <is>
          <t>TOTALS</t>
        </is>
      </c>
      <c r="E13" s="37">
        <f>SUM(E7:E12)</f>
        <v/>
      </c>
      <c r="F13" s="4" t="n"/>
      <c r="G13" s="37">
        <f>SUM(G7:G12)</f>
        <v/>
      </c>
      <c r="H13" s="37">
        <f>SUM(H7:H12)</f>
        <v/>
      </c>
      <c r="I13" s="4" t="n"/>
      <c r="J13" s="37">
        <f>SUM(J7:J12)</f>
        <v/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6" customHeight="1">
      <c r="A14" s="1" t="n"/>
      <c r="B14" s="11" t="inlineStr">
        <is>
          <t>VARIABLE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6" customHeight="1">
      <c r="A15" s="1" t="n"/>
      <c r="B15" s="1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6" customHeight="1">
      <c r="A16" s="1" t="n"/>
      <c r="B16" s="7" t="inlineStr">
        <is>
          <t>ANALYTICS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6" customHeight="1">
      <c r="A17" s="1" t="n"/>
      <c r="B17" s="11" t="inlineStr">
        <is>
          <t>ANNUAL TOTALS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6" customHeight="1">
      <c r="A18" s="1" t="n"/>
      <c r="B18" s="11" t="inlineStr">
        <is>
          <t>PAYCHECK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6" customHeight="1">
      <c r="A19" s="1" t="n"/>
      <c r="B19" s="11" t="inlineStr">
        <is>
          <t>CALENDAR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6" customHeight="1">
      <c r="A20" s="1" t="n"/>
      <c r="B20" s="1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6" customHeight="1">
      <c r="A21" s="1" t="n"/>
      <c r="B21" s="7" t="inlineStr">
        <is>
          <t>MONTHLY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6" customHeight="1">
      <c r="A22" s="1" t="n"/>
      <c r="B22" s="11" t="inlineStr">
        <is>
          <t>JANUARY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9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1">
    <mergeCell ref="D5:J5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5" customWidth="1" min="4" max="4"/>
    <col width="18" customWidth="1" min="5" max="5"/>
    <col width="18" customWidth="1" min="6" max="6"/>
    <col width="16" customWidth="1" min="7" max="7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NET WORTH TRACKER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ASSETS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0" customHeight="1">
      <c r="A6" s="1" t="n"/>
      <c r="B6" s="11" t="inlineStr">
        <is>
          <t>INSTRUCTIONS</t>
        </is>
      </c>
      <c r="C6" s="4" t="n"/>
      <c r="D6" s="20" t="inlineStr">
        <is>
          <t>Asset</t>
        </is>
      </c>
      <c r="E6" s="20" t="inlineStr">
        <is>
          <t>Opening Value</t>
        </is>
      </c>
      <c r="F6" s="20" t="inlineStr">
        <is>
          <t>Current Value</t>
        </is>
      </c>
      <c r="G6" s="20" t="inlineStr">
        <is>
          <t>Change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8" customHeight="1">
      <c r="A7" s="1" t="n"/>
      <c r="B7" s="11" t="inlineStr">
        <is>
          <t>SETUP</t>
        </is>
      </c>
      <c r="C7" s="4" t="n"/>
      <c r="D7" s="24" t="inlineStr">
        <is>
          <t>Checking Account</t>
        </is>
      </c>
      <c r="E7" s="25" t="n">
        <v>3500</v>
      </c>
      <c r="F7" s="25" t="n">
        <v>4250</v>
      </c>
      <c r="G7" s="59">
        <f>F7-E7</f>
        <v/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18" customHeight="1">
      <c r="A8" s="1" t="n"/>
      <c r="B8" s="11" t="inlineStr">
        <is>
          <t>DASHBOARD</t>
        </is>
      </c>
      <c r="C8" s="4" t="n"/>
      <c r="D8" s="21" t="inlineStr">
        <is>
          <t>Emergency Savings</t>
        </is>
      </c>
      <c r="E8" s="22" t="n">
        <v>10000</v>
      </c>
      <c r="F8" s="22" t="n">
        <v>10500</v>
      </c>
      <c r="G8" s="60">
        <f>F8-E8</f>
        <v/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18" customHeight="1">
      <c r="A9" s="1" t="n"/>
      <c r="B9" s="1" t="n"/>
      <c r="C9" s="4" t="n"/>
      <c r="D9" s="24" t="inlineStr">
        <is>
          <t>Investment Portfolio</t>
        </is>
      </c>
      <c r="E9" s="25" t="n">
        <v>25000</v>
      </c>
      <c r="F9" s="25" t="n">
        <v>26800</v>
      </c>
      <c r="G9" s="59">
        <f>F9-E9</f>
        <v/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8" customHeight="1">
      <c r="A10" s="1" t="n"/>
      <c r="B10" s="7" t="inlineStr">
        <is>
          <t>ACCOUNTS</t>
        </is>
      </c>
      <c r="C10" s="4" t="n"/>
      <c r="D10" s="21" t="inlineStr">
        <is>
          <t>401(k) / Retirement</t>
        </is>
      </c>
      <c r="E10" s="22" t="n">
        <v>45000</v>
      </c>
      <c r="F10" s="22" t="n">
        <v>47500</v>
      </c>
      <c r="G10" s="60">
        <f>F10-E10</f>
        <v/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8" customHeight="1">
      <c r="A11" s="1" t="n"/>
      <c r="B11" s="11" t="inlineStr">
        <is>
          <t>BANK ACCOUNTS</t>
        </is>
      </c>
      <c r="C11" s="4" t="n"/>
      <c r="D11" s="24" t="inlineStr">
        <is>
          <t>Home Value</t>
        </is>
      </c>
      <c r="E11" s="25" t="n">
        <v>350000</v>
      </c>
      <c r="F11" s="25" t="n">
        <v>355000</v>
      </c>
      <c r="G11" s="59">
        <f>F11-E11</f>
        <v/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18" customHeight="1">
      <c r="A12" s="1" t="n"/>
      <c r="B12" s="11" t="inlineStr">
        <is>
          <t>RECURRING</t>
        </is>
      </c>
      <c r="C12" s="4" t="n"/>
      <c r="D12" s="21" t="inlineStr">
        <is>
          <t>Vehicle Value</t>
        </is>
      </c>
      <c r="E12" s="22" t="n">
        <v>18000</v>
      </c>
      <c r="F12" s="22" t="n">
        <v>16500</v>
      </c>
      <c r="G12" s="60">
        <f>F12-E12</f>
        <v/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11" t="inlineStr">
        <is>
          <t>PAYMENTS</t>
        </is>
      </c>
      <c r="C13" s="4" t="n"/>
      <c r="D13" s="24" t="inlineStr">
        <is>
          <t>Other Assets</t>
        </is>
      </c>
      <c r="E13" s="25" t="n">
        <v>5000</v>
      </c>
      <c r="F13" s="25" t="n">
        <v>5000</v>
      </c>
      <c r="G13" s="59">
        <f>F13-E13</f>
        <v/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6" customHeight="1">
      <c r="A14" s="1" t="n"/>
      <c r="B14" s="11" t="inlineStr">
        <is>
          <t>VARIABLE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0" customHeight="1">
      <c r="A15" s="1" t="n"/>
      <c r="B15" s="1" t="n"/>
      <c r="C15" s="4" t="n"/>
      <c r="D15" s="27" t="inlineStr">
        <is>
          <t>TOTAL ASSETS</t>
        </is>
      </c>
      <c r="E15" s="4" t="n"/>
      <c r="F15" s="28">
        <f>SUM(F7:F14)</f>
        <v/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6" customHeight="1">
      <c r="A16" s="1" t="n"/>
      <c r="B16" s="7" t="inlineStr">
        <is>
          <t>ANALYTICS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20" customHeight="1">
      <c r="A17" s="1" t="n"/>
      <c r="B17" s="11" t="inlineStr">
        <is>
          <t>ANNUAL TOTALS</t>
        </is>
      </c>
      <c r="C17" s="4" t="n"/>
      <c r="D17" s="8" t="inlineStr">
        <is>
          <t xml:space="preserve">  LIABILITIES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20" customHeight="1">
      <c r="A18" s="1" t="n"/>
      <c r="B18" s="11" t="inlineStr">
        <is>
          <t>PAYCHECK</t>
        </is>
      </c>
      <c r="C18" s="4" t="n"/>
      <c r="D18" s="20" t="inlineStr">
        <is>
          <t>Liability</t>
        </is>
      </c>
      <c r="E18" s="20" t="inlineStr">
        <is>
          <t>Opening Balance</t>
        </is>
      </c>
      <c r="F18" s="20" t="inlineStr">
        <is>
          <t>Current Balance</t>
        </is>
      </c>
      <c r="G18" s="20" t="inlineStr">
        <is>
          <t>Change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24" t="inlineStr">
        <is>
          <t>Mortgage</t>
        </is>
      </c>
      <c r="E19" s="25" t="n">
        <v>280000</v>
      </c>
      <c r="F19" s="25" t="n">
        <v>279200</v>
      </c>
      <c r="G19" s="59">
        <f>F19-E19</f>
        <v/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21" t="inlineStr">
        <is>
          <t>Car Loan</t>
        </is>
      </c>
      <c r="E20" s="22" t="n">
        <v>12000</v>
      </c>
      <c r="F20" s="22" t="n">
        <v>11200</v>
      </c>
      <c r="G20" s="60">
        <f>F20-E20</f>
        <v/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24" t="inlineStr">
        <is>
          <t>Student Loans</t>
        </is>
      </c>
      <c r="E21" s="25" t="n">
        <v>15000</v>
      </c>
      <c r="F21" s="25" t="n">
        <v>14500</v>
      </c>
      <c r="G21" s="59">
        <f>F21-E21</f>
        <v/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21" t="inlineStr">
        <is>
          <t>Credit Card Debt</t>
        </is>
      </c>
      <c r="E22" s="22" t="n">
        <v>3500</v>
      </c>
      <c r="F22" s="22" t="n">
        <v>2800</v>
      </c>
      <c r="G22" s="60">
        <f>F22-E22</f>
        <v/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24" t="inlineStr">
        <is>
          <t>Other Debt</t>
        </is>
      </c>
      <c r="E23" s="25" t="n">
        <v>0</v>
      </c>
      <c r="F23" s="25" t="n">
        <v>0</v>
      </c>
      <c r="G23" s="59">
        <f>F23-E23</f>
        <v/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20" customHeight="1">
      <c r="A25" s="1" t="n"/>
      <c r="B25" s="11" t="inlineStr">
        <is>
          <t>APRIL</t>
        </is>
      </c>
      <c r="C25" s="4" t="n"/>
      <c r="D25" s="27" t="inlineStr">
        <is>
          <t>TOTAL LIABILITIES</t>
        </is>
      </c>
      <c r="E25" s="4" t="n"/>
      <c r="F25" s="28">
        <f>SUM(F19:F24)</f>
        <v/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20" customHeight="1">
      <c r="A27" s="1" t="n"/>
      <c r="B27" s="11" t="inlineStr">
        <is>
          <t>JUNE</t>
        </is>
      </c>
      <c r="C27" s="4" t="n"/>
      <c r="D27" s="8" t="inlineStr">
        <is>
          <t xml:space="preserve">  NET WORTH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28" customHeight="1">
      <c r="A28" s="1" t="n"/>
      <c r="B28" s="11" t="inlineStr">
        <is>
          <t>JULY</t>
        </is>
      </c>
      <c r="C28" s="4" t="n"/>
      <c r="D28" s="61" t="inlineStr">
        <is>
          <t>NET WORTH  (Assets − Liabilities)</t>
        </is>
      </c>
      <c r="F28" s="62">
        <f>F15-F25</f>
        <v/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9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4">
    <mergeCell ref="D27:G27"/>
    <mergeCell ref="D5:G5"/>
    <mergeCell ref="D28:E28"/>
    <mergeCell ref="D17:G17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2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INVESTMENT FORECAST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COMPOUND GROWTH CALCULATOR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2" customHeight="1">
      <c r="A6" s="1" t="n"/>
      <c r="B6" s="11" t="inlineStr">
        <is>
          <t>INSTRUCTIONS</t>
        </is>
      </c>
      <c r="C6" s="4" t="n"/>
      <c r="D6" s="12" t="inlineStr">
        <is>
          <t>Starting Investment</t>
        </is>
      </c>
      <c r="G6" s="19" t="n">
        <v>10000</v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22" customHeight="1">
      <c r="A7" s="1" t="n"/>
      <c r="B7" s="11" t="inlineStr">
        <is>
          <t>SETUP</t>
        </is>
      </c>
      <c r="C7" s="4" t="n"/>
      <c r="D7" s="12" t="inlineStr">
        <is>
          <t>Monthly Contribution</t>
        </is>
      </c>
      <c r="G7" s="19" t="n">
        <v>500</v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22" customHeight="1">
      <c r="A8" s="1" t="n"/>
      <c r="B8" s="11" t="inlineStr">
        <is>
          <t>DASHBOARD</t>
        </is>
      </c>
      <c r="C8" s="4" t="n"/>
      <c r="D8" s="12" t="inlineStr">
        <is>
          <t>Annual Return Rate</t>
        </is>
      </c>
      <c r="G8" s="63" t="n">
        <v>0.07000000000000001</v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22" customHeight="1">
      <c r="A9" s="1" t="n"/>
      <c r="B9" s="1" t="n"/>
      <c r="C9" s="4" t="n"/>
      <c r="D9" s="12" t="inlineStr">
        <is>
          <t>Investment Period (yrs)</t>
        </is>
      </c>
      <c r="G9" s="64" t="n">
        <v>20</v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6" customHeight="1">
      <c r="A10" s="1" t="n"/>
      <c r="B10" s="7" t="inlineStr">
        <is>
          <t>ACCOUNTS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1" t="n"/>
      <c r="B11" s="11" t="inlineStr">
        <is>
          <t>BANK ACCOUNTS</t>
        </is>
      </c>
      <c r="C11" s="4" t="n"/>
      <c r="D11" s="8" t="inlineStr">
        <is>
          <t xml:space="preserve">  YEAR-BY-YEAR PROJECTION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20" customHeight="1">
      <c r="A12" s="1" t="n"/>
      <c r="B12" s="11" t="inlineStr">
        <is>
          <t>RECURRING</t>
        </is>
      </c>
      <c r="C12" s="4" t="n"/>
      <c r="D12" s="20" t="inlineStr">
        <is>
          <t>Year</t>
        </is>
      </c>
      <c r="E12" s="20" t="inlineStr">
        <is>
          <t>Starting Balance</t>
        </is>
      </c>
      <c r="F12" s="20" t="inlineStr">
        <is>
          <t>Contributions</t>
        </is>
      </c>
      <c r="G12" s="20" t="inlineStr">
        <is>
          <t>Interest Earned</t>
        </is>
      </c>
      <c r="H12" s="20" t="inlineStr">
        <is>
          <t>Ending Balance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8" customHeight="1">
      <c r="A13" s="1" t="n"/>
      <c r="B13" s="11" t="inlineStr">
        <is>
          <t>PAYMENTS</t>
        </is>
      </c>
      <c r="C13" s="4" t="n"/>
      <c r="D13" s="35" t="n">
        <v>2025</v>
      </c>
      <c r="E13" s="26">
        <f>G6</f>
        <v/>
      </c>
      <c r="F13" s="26">
        <f>G7*12</f>
        <v/>
      </c>
      <c r="G13" s="26">
        <f>E13*G8</f>
        <v/>
      </c>
      <c r="H13" s="26">
        <f>E13+F13+G13</f>
        <v/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8" customHeight="1">
      <c r="A14" s="1" t="n"/>
      <c r="B14" s="11" t="inlineStr">
        <is>
          <t>VARIABLE</t>
        </is>
      </c>
      <c r="C14" s="4" t="n"/>
      <c r="D14" s="36" t="n">
        <v>2026</v>
      </c>
      <c r="E14" s="23">
        <f>H13</f>
        <v/>
      </c>
      <c r="F14" s="23">
        <f>G7*12</f>
        <v/>
      </c>
      <c r="G14" s="23">
        <f>(E14+F14)*G8</f>
        <v/>
      </c>
      <c r="H14" s="23">
        <f>E14+F14+G14</f>
        <v/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8" customHeight="1">
      <c r="A15" s="1" t="n"/>
      <c r="B15" s="1" t="n"/>
      <c r="C15" s="4" t="n"/>
      <c r="D15" s="35" t="n">
        <v>2027</v>
      </c>
      <c r="E15" s="26">
        <f>H14</f>
        <v/>
      </c>
      <c r="F15" s="26">
        <f>G7*12</f>
        <v/>
      </c>
      <c r="G15" s="26">
        <f>(E15+F15)*G8</f>
        <v/>
      </c>
      <c r="H15" s="26">
        <f>E15+F15+G15</f>
        <v/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8" customHeight="1">
      <c r="A16" s="1" t="n"/>
      <c r="B16" s="7" t="inlineStr">
        <is>
          <t>ANALYTICS</t>
        </is>
      </c>
      <c r="C16" s="4" t="n"/>
      <c r="D16" s="36" t="n">
        <v>2028</v>
      </c>
      <c r="E16" s="23">
        <f>H15</f>
        <v/>
      </c>
      <c r="F16" s="23">
        <f>G7*12</f>
        <v/>
      </c>
      <c r="G16" s="23">
        <f>(E16+F16)*G8</f>
        <v/>
      </c>
      <c r="H16" s="23">
        <f>E16+F16+G16</f>
        <v/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35" t="n">
        <v>2029</v>
      </c>
      <c r="E17" s="26">
        <f>H16</f>
        <v/>
      </c>
      <c r="F17" s="26">
        <f>G7*12</f>
        <v/>
      </c>
      <c r="G17" s="26">
        <f>(E17+F17)*G8</f>
        <v/>
      </c>
      <c r="H17" s="26">
        <f>E17+F17+G17</f>
        <v/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36" t="n">
        <v>2030</v>
      </c>
      <c r="E18" s="23">
        <f>H17</f>
        <v/>
      </c>
      <c r="F18" s="23">
        <f>G7*12</f>
        <v/>
      </c>
      <c r="G18" s="23">
        <f>(E18+F18)*G8</f>
        <v/>
      </c>
      <c r="H18" s="23">
        <f>E18+F18+G18</f>
        <v/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35" t="n">
        <v>2031</v>
      </c>
      <c r="E19" s="26">
        <f>H18</f>
        <v/>
      </c>
      <c r="F19" s="26">
        <f>G7*12</f>
        <v/>
      </c>
      <c r="G19" s="26">
        <f>(E19+F19)*G8</f>
        <v/>
      </c>
      <c r="H19" s="26">
        <f>E19+F19+G19</f>
        <v/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36" t="n">
        <v>2032</v>
      </c>
      <c r="E20" s="23">
        <f>H19</f>
        <v/>
      </c>
      <c r="F20" s="23">
        <f>G7*12</f>
        <v/>
      </c>
      <c r="G20" s="23">
        <f>(E20+F20)*G8</f>
        <v/>
      </c>
      <c r="H20" s="23">
        <f>E20+F20+G20</f>
        <v/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35" t="n">
        <v>2033</v>
      </c>
      <c r="E21" s="26">
        <f>H20</f>
        <v/>
      </c>
      <c r="F21" s="26">
        <f>G7*12</f>
        <v/>
      </c>
      <c r="G21" s="26">
        <f>(E21+F21)*G8</f>
        <v/>
      </c>
      <c r="H21" s="26">
        <f>E21+F21+G21</f>
        <v/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36" t="n">
        <v>2034</v>
      </c>
      <c r="E22" s="23">
        <f>H21</f>
        <v/>
      </c>
      <c r="F22" s="23">
        <f>G7*12</f>
        <v/>
      </c>
      <c r="G22" s="23">
        <f>(E22+F22)*G8</f>
        <v/>
      </c>
      <c r="H22" s="23">
        <f>E22+F22+G22</f>
        <v/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8" customHeight="1">
      <c r="A23" s="1" t="n"/>
      <c r="B23" s="11" t="inlineStr">
        <is>
          <t>FEBRUARY</t>
        </is>
      </c>
      <c r="C23" s="4" t="n"/>
      <c r="D23" s="35" t="n">
        <v>2035</v>
      </c>
      <c r="E23" s="26">
        <f>H22</f>
        <v/>
      </c>
      <c r="F23" s="26">
        <f>G7*12</f>
        <v/>
      </c>
      <c r="G23" s="26">
        <f>(E23+F23)*G8</f>
        <v/>
      </c>
      <c r="H23" s="26">
        <f>E23+F23+G23</f>
        <v/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8" customHeight="1">
      <c r="A24" s="1" t="n"/>
      <c r="B24" s="11" t="inlineStr">
        <is>
          <t>MARCH</t>
        </is>
      </c>
      <c r="C24" s="4" t="n"/>
      <c r="D24" s="36" t="n">
        <v>2036</v>
      </c>
      <c r="E24" s="23">
        <f>H23</f>
        <v/>
      </c>
      <c r="F24" s="23">
        <f>G7*12</f>
        <v/>
      </c>
      <c r="G24" s="23">
        <f>(E24+F24)*G8</f>
        <v/>
      </c>
      <c r="H24" s="23">
        <f>E24+F24+G24</f>
        <v/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8" customHeight="1">
      <c r="A25" s="1" t="n"/>
      <c r="B25" s="11" t="inlineStr">
        <is>
          <t>APRIL</t>
        </is>
      </c>
      <c r="C25" s="4" t="n"/>
      <c r="D25" s="35" t="n">
        <v>2037</v>
      </c>
      <c r="E25" s="26">
        <f>H24</f>
        <v/>
      </c>
      <c r="F25" s="26">
        <f>G7*12</f>
        <v/>
      </c>
      <c r="G25" s="26">
        <f>(E25+F25)*G8</f>
        <v/>
      </c>
      <c r="H25" s="26">
        <f>E25+F25+G25</f>
        <v/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8" customHeight="1">
      <c r="A26" s="1" t="n"/>
      <c r="B26" s="11" t="inlineStr">
        <is>
          <t>MAY</t>
        </is>
      </c>
      <c r="C26" s="4" t="n"/>
      <c r="D26" s="36" t="n">
        <v>2038</v>
      </c>
      <c r="E26" s="23">
        <f>H25</f>
        <v/>
      </c>
      <c r="F26" s="23">
        <f>G7*12</f>
        <v/>
      </c>
      <c r="G26" s="23">
        <f>(E26+F26)*G8</f>
        <v/>
      </c>
      <c r="H26" s="23">
        <f>E26+F26+G26</f>
        <v/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8" customHeight="1">
      <c r="A27" s="1" t="n"/>
      <c r="B27" s="11" t="inlineStr">
        <is>
          <t>JUNE</t>
        </is>
      </c>
      <c r="C27" s="4" t="n"/>
      <c r="D27" s="35" t="n">
        <v>2039</v>
      </c>
      <c r="E27" s="26">
        <f>H26</f>
        <v/>
      </c>
      <c r="F27" s="26">
        <f>G7*12</f>
        <v/>
      </c>
      <c r="G27" s="26">
        <f>(E27+F27)*G8</f>
        <v/>
      </c>
      <c r="H27" s="26">
        <f>E27+F27+G27</f>
        <v/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8" customHeight="1">
      <c r="A28" s="1" t="n"/>
      <c r="B28" s="11" t="inlineStr">
        <is>
          <t>JULY</t>
        </is>
      </c>
      <c r="C28" s="4" t="n"/>
      <c r="D28" s="36" t="n">
        <v>2040</v>
      </c>
      <c r="E28" s="23">
        <f>H27</f>
        <v/>
      </c>
      <c r="F28" s="23">
        <f>G7*12</f>
        <v/>
      </c>
      <c r="G28" s="23">
        <f>(E28+F28)*G8</f>
        <v/>
      </c>
      <c r="H28" s="23">
        <f>E28+F28+G28</f>
        <v/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8" customHeight="1">
      <c r="A29" s="1" t="n"/>
      <c r="B29" s="11" t="inlineStr">
        <is>
          <t>AUGUST</t>
        </is>
      </c>
      <c r="C29" s="4" t="n"/>
      <c r="D29" s="35" t="n">
        <v>2041</v>
      </c>
      <c r="E29" s="26">
        <f>H28</f>
        <v/>
      </c>
      <c r="F29" s="26">
        <f>G7*12</f>
        <v/>
      </c>
      <c r="G29" s="26">
        <f>(E29+F29)*G8</f>
        <v/>
      </c>
      <c r="H29" s="26">
        <f>E29+F29+G29</f>
        <v/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8" customHeight="1">
      <c r="A30" s="1" t="n"/>
      <c r="B30" s="11" t="inlineStr">
        <is>
          <t>SEPTEMBER</t>
        </is>
      </c>
      <c r="C30" s="4" t="n"/>
      <c r="D30" s="36" t="n">
        <v>2042</v>
      </c>
      <c r="E30" s="23">
        <f>H29</f>
        <v/>
      </c>
      <c r="F30" s="23">
        <f>G7*12</f>
        <v/>
      </c>
      <c r="G30" s="23">
        <f>(E30+F30)*G8</f>
        <v/>
      </c>
      <c r="H30" s="23">
        <f>E30+F30+G30</f>
        <v/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8" customHeight="1">
      <c r="A31" s="1" t="n"/>
      <c r="B31" s="11" t="inlineStr">
        <is>
          <t>OCTOBER</t>
        </is>
      </c>
      <c r="C31" s="4" t="n"/>
      <c r="D31" s="35" t="n">
        <v>2043</v>
      </c>
      <c r="E31" s="26">
        <f>H30</f>
        <v/>
      </c>
      <c r="F31" s="26">
        <f>G7*12</f>
        <v/>
      </c>
      <c r="G31" s="26">
        <f>(E31+F31)*G8</f>
        <v/>
      </c>
      <c r="H31" s="26">
        <f>E31+F31+G31</f>
        <v/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8" customHeight="1">
      <c r="A32" s="1" t="n"/>
      <c r="B32" s="11" t="inlineStr">
        <is>
          <t>NOVEMBER</t>
        </is>
      </c>
      <c r="C32" s="4" t="n"/>
      <c r="D32" s="36" t="n">
        <v>2044</v>
      </c>
      <c r="E32" s="23">
        <f>H31</f>
        <v/>
      </c>
      <c r="F32" s="23">
        <f>G7*12</f>
        <v/>
      </c>
      <c r="G32" s="23">
        <f>(E32+F32)*G8</f>
        <v/>
      </c>
      <c r="H32" s="23">
        <f>E32+F32+G32</f>
        <v/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9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11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6">
    <mergeCell ref="D11:H11"/>
    <mergeCell ref="D5:H5"/>
    <mergeCell ref="D9:F9"/>
    <mergeCell ref="D7:F7"/>
    <mergeCell ref="D8:F8"/>
    <mergeCell ref="D6:F6"/>
  </mergeCells>
  <conditionalFormatting sqref="H13:H32">
    <cfRule type="dataBar" priority="1">
      <dataBar>
        <cfvo type="min"/>
        <cfvo type="max"/>
        <color rgb="003D8A85"/>
      </dataBar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C5F5A"/>
    <outlinePr summaryBelow="1" summaryRight="1"/>
    <pageSetUpPr/>
  </sheetPr>
  <dimension ref="A1:AX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1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5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1" t="n"/>
      <c r="B2" s="3" t="inlineStr">
        <is>
          <t>PLANWISE HAUS</t>
        </is>
      </c>
      <c r="C2" s="4" t="n"/>
      <c r="D2" s="5" t="inlineStr">
        <is>
          <t>PLANWISE HAUS  ·  NO-SPEND CHALLENGE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8" customHeight="1">
      <c r="A3" s="1" t="n"/>
      <c r="B3" s="1" t="n"/>
      <c r="C3" s="4" t="n"/>
      <c r="D3" s="6" t="inlineStr">
        <is>
          <t>EXCEL TEMPLATES FOR LIFE &amp; HOME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6" customHeight="1">
      <c r="A4" s="1" t="n"/>
      <c r="B4" s="1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20" customHeight="1">
      <c r="A5" s="1" t="n"/>
      <c r="B5" s="7" t="inlineStr">
        <is>
          <t>OVERVIEW</t>
        </is>
      </c>
      <c r="C5" s="4" t="n"/>
      <c r="D5" s="8" t="inlineStr">
        <is>
          <t xml:space="preserve">  30-DAY NO-SPEND CHALLENGE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</row>
    <row r="6" ht="22" customHeight="1">
      <c r="A6" s="1" t="n"/>
      <c r="B6" s="11" t="inlineStr">
        <is>
          <t>INSTRUCTIONS</t>
        </is>
      </c>
      <c r="C6" s="4" t="n"/>
      <c r="D6" s="12" t="inlineStr">
        <is>
          <t>Month / Year:</t>
        </is>
      </c>
      <c r="F6" s="18" t="inlineStr">
        <is>
          <t>January 2025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</row>
    <row r="7" ht="16" customHeight="1">
      <c r="A7" s="1" t="n"/>
      <c r="B7" s="11" t="inlineStr">
        <is>
          <t>SETUP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</row>
    <row r="8" ht="20" customHeight="1">
      <c r="A8" s="1" t="n"/>
      <c r="B8" s="11" t="inlineStr">
        <is>
          <t>DASHBOARD</t>
        </is>
      </c>
      <c r="C8" s="4" t="n"/>
      <c r="D8" s="20" t="inlineStr">
        <is>
          <t>MON</t>
        </is>
      </c>
      <c r="E8" s="20" t="inlineStr">
        <is>
          <t>TUE</t>
        </is>
      </c>
      <c r="F8" s="20" t="inlineStr">
        <is>
          <t>WED</t>
        </is>
      </c>
      <c r="G8" s="20" t="inlineStr">
        <is>
          <t>THU</t>
        </is>
      </c>
      <c r="H8" s="20" t="inlineStr">
        <is>
          <t>FRI</t>
        </is>
      </c>
      <c r="I8" s="20" t="inlineStr">
        <is>
          <t>SAT</t>
        </is>
      </c>
      <c r="J8" s="20" t="inlineStr">
        <is>
          <t>SUN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</row>
    <row r="9" ht="38" customHeight="1">
      <c r="A9" s="1" t="n"/>
      <c r="B9" s="1" t="n"/>
      <c r="C9" s="4" t="n"/>
      <c r="D9" s="65" t="inlineStr">
        <is>
          <t>Day 1</t>
        </is>
      </c>
      <c r="E9" s="65" t="inlineStr">
        <is>
          <t>Day 2</t>
        </is>
      </c>
      <c r="F9" s="65" t="inlineStr">
        <is>
          <t>Day 3</t>
        </is>
      </c>
      <c r="G9" s="65" t="inlineStr">
        <is>
          <t>Day 4</t>
        </is>
      </c>
      <c r="H9" s="65" t="inlineStr">
        <is>
          <t>Day 5</t>
        </is>
      </c>
      <c r="I9" s="65" t="inlineStr">
        <is>
          <t>Day 6</t>
        </is>
      </c>
      <c r="J9" s="65" t="inlineStr">
        <is>
          <t>Day 7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38" customHeight="1">
      <c r="A10" s="1" t="n"/>
      <c r="B10" s="7" t="inlineStr">
        <is>
          <t>ACCOUNTS</t>
        </is>
      </c>
      <c r="C10" s="4" t="n"/>
      <c r="D10" s="65" t="inlineStr">
        <is>
          <t>Day 8</t>
        </is>
      </c>
      <c r="E10" s="65" t="inlineStr">
        <is>
          <t>Day 9</t>
        </is>
      </c>
      <c r="F10" s="65" t="inlineStr">
        <is>
          <t>Day 10</t>
        </is>
      </c>
      <c r="G10" s="65" t="inlineStr">
        <is>
          <t>Day 11</t>
        </is>
      </c>
      <c r="H10" s="65" t="inlineStr">
        <is>
          <t>Day 12</t>
        </is>
      </c>
      <c r="I10" s="65" t="inlineStr">
        <is>
          <t>Day 13</t>
        </is>
      </c>
      <c r="J10" s="65" t="inlineStr">
        <is>
          <t>Day 14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38" customHeight="1">
      <c r="A11" s="1" t="n"/>
      <c r="B11" s="11" t="inlineStr">
        <is>
          <t>BANK ACCOUNTS</t>
        </is>
      </c>
      <c r="C11" s="4" t="n"/>
      <c r="D11" s="65" t="inlineStr">
        <is>
          <t>Day 15</t>
        </is>
      </c>
      <c r="E11" s="65" t="inlineStr">
        <is>
          <t>Day 16</t>
        </is>
      </c>
      <c r="F11" s="65" t="inlineStr">
        <is>
          <t>Day 17</t>
        </is>
      </c>
      <c r="G11" s="65" t="inlineStr">
        <is>
          <t>Day 18</t>
        </is>
      </c>
      <c r="H11" s="65" t="inlineStr">
        <is>
          <t>Day 19</t>
        </is>
      </c>
      <c r="I11" s="65" t="inlineStr">
        <is>
          <t>Day 20</t>
        </is>
      </c>
      <c r="J11" s="65" t="inlineStr">
        <is>
          <t>Day 21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38" customHeight="1">
      <c r="A12" s="1" t="n"/>
      <c r="B12" s="11" t="inlineStr">
        <is>
          <t>RECURRING</t>
        </is>
      </c>
      <c r="C12" s="4" t="n"/>
      <c r="D12" s="65" t="inlineStr">
        <is>
          <t>Day 22</t>
        </is>
      </c>
      <c r="E12" s="65" t="inlineStr">
        <is>
          <t>Day 23</t>
        </is>
      </c>
      <c r="F12" s="65" t="inlineStr">
        <is>
          <t>Day 24</t>
        </is>
      </c>
      <c r="G12" s="65" t="inlineStr">
        <is>
          <t>Day 25</t>
        </is>
      </c>
      <c r="H12" s="65" t="inlineStr">
        <is>
          <t>Day 26</t>
        </is>
      </c>
      <c r="I12" s="65" t="inlineStr">
        <is>
          <t>Day 27</t>
        </is>
      </c>
      <c r="J12" s="65" t="inlineStr">
        <is>
          <t>Day 28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38" customHeight="1">
      <c r="A13" s="1" t="n"/>
      <c r="B13" s="11" t="inlineStr">
        <is>
          <t>PAYMENTS</t>
        </is>
      </c>
      <c r="C13" s="4" t="n"/>
      <c r="D13" s="65" t="inlineStr">
        <is>
          <t>Day 29</t>
        </is>
      </c>
      <c r="E13" s="65" t="inlineStr">
        <is>
          <t>Day 30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6" customHeight="1">
      <c r="A14" s="1" t="n"/>
      <c r="B14" s="11" t="inlineStr">
        <is>
          <t>VARIABLE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0" customHeight="1">
      <c r="A15" s="1" t="n"/>
      <c r="B15" s="1" t="n"/>
      <c r="C15" s="4" t="n"/>
      <c r="D15" s="8" t="inlineStr">
        <is>
          <t xml:space="preserve">  SPENDING EXCEPTIONS LOG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20" customHeight="1">
      <c r="A16" s="1" t="n"/>
      <c r="B16" s="7" t="inlineStr">
        <is>
          <t>ANALYTICS</t>
        </is>
      </c>
      <c r="C16" s="4" t="n"/>
      <c r="D16" s="20" t="inlineStr">
        <is>
          <t>Date</t>
        </is>
      </c>
      <c r="E16" s="20" t="inlineStr">
        <is>
          <t>Item</t>
        </is>
      </c>
      <c r="F16" s="20" t="inlineStr">
        <is>
          <t>Amount</t>
        </is>
      </c>
      <c r="G16" s="20" t="inlineStr">
        <is>
          <t>Necessary?</t>
        </is>
      </c>
      <c r="H16" s="20" t="inlineStr">
        <is>
          <t>Notes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18" customHeight="1">
      <c r="A17" s="1" t="n"/>
      <c r="B17" s="11" t="inlineStr">
        <is>
          <t>ANNUAL TOTALS</t>
        </is>
      </c>
      <c r="C17" s="4" t="n"/>
      <c r="D17" s="38" t="inlineStr"/>
      <c r="E17" s="24" t="inlineStr"/>
      <c r="F17" s="29" t="n">
        <v>0</v>
      </c>
      <c r="G17" s="24" t="inlineStr">
        <is>
          <t>Yes</t>
        </is>
      </c>
      <c r="H17" s="24" t="inlineStr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8" customHeight="1">
      <c r="A18" s="1" t="n"/>
      <c r="B18" s="11" t="inlineStr">
        <is>
          <t>PAYCHECK</t>
        </is>
      </c>
      <c r="C18" s="4" t="n"/>
      <c r="D18" s="39" t="inlineStr"/>
      <c r="E18" s="21" t="inlineStr"/>
      <c r="F18" s="31" t="n">
        <v>0</v>
      </c>
      <c r="G18" s="21" t="inlineStr">
        <is>
          <t>Yes</t>
        </is>
      </c>
      <c r="H18" s="21" t="inlineStr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8" customHeight="1">
      <c r="A19" s="1" t="n"/>
      <c r="B19" s="11" t="inlineStr">
        <is>
          <t>CALENDAR</t>
        </is>
      </c>
      <c r="C19" s="4" t="n"/>
      <c r="D19" s="38" t="inlineStr"/>
      <c r="E19" s="24" t="inlineStr"/>
      <c r="F19" s="29" t="n">
        <v>0</v>
      </c>
      <c r="G19" s="24" t="inlineStr">
        <is>
          <t>Yes</t>
        </is>
      </c>
      <c r="H19" s="24" t="inlineStr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8" customHeight="1">
      <c r="A20" s="1" t="n"/>
      <c r="B20" s="1" t="n"/>
      <c r="C20" s="4" t="n"/>
      <c r="D20" s="39" t="inlineStr"/>
      <c r="E20" s="21" t="inlineStr"/>
      <c r="F20" s="31" t="n">
        <v>0</v>
      </c>
      <c r="G20" s="21" t="inlineStr">
        <is>
          <t>Yes</t>
        </is>
      </c>
      <c r="H20" s="21" t="inlineStr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8" customHeight="1">
      <c r="A21" s="1" t="n"/>
      <c r="B21" s="7" t="inlineStr">
        <is>
          <t>MONTHLY</t>
        </is>
      </c>
      <c r="C21" s="4" t="n"/>
      <c r="D21" s="38" t="inlineStr"/>
      <c r="E21" s="24" t="inlineStr"/>
      <c r="F21" s="29" t="n">
        <v>0</v>
      </c>
      <c r="G21" s="24" t="inlineStr">
        <is>
          <t>Yes</t>
        </is>
      </c>
      <c r="H21" s="24" t="inlineStr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8" customHeight="1">
      <c r="A22" s="1" t="n"/>
      <c r="B22" s="11" t="inlineStr">
        <is>
          <t>JANUARY</t>
        </is>
      </c>
      <c r="C22" s="4" t="n"/>
      <c r="D22" s="39" t="inlineStr"/>
      <c r="E22" s="21" t="inlineStr"/>
      <c r="F22" s="31" t="n">
        <v>0</v>
      </c>
      <c r="G22" s="21" t="inlineStr">
        <is>
          <t>Yes</t>
        </is>
      </c>
      <c r="H22" s="21" t="inlineStr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6" customHeight="1">
      <c r="A23" s="1" t="n"/>
      <c r="B23" s="11" t="inlineStr">
        <is>
          <t>FEBRUARY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6" customHeight="1">
      <c r="A24" s="1" t="n"/>
      <c r="B24" s="11" t="inlineStr">
        <is>
          <t>MARCH</t>
        </is>
      </c>
      <c r="C24" s="4" t="n"/>
      <c r="D24" s="27" t="inlineStr">
        <is>
          <t>TOTAL EXCEPTIONS SPENT</t>
        </is>
      </c>
      <c r="E24" s="4" t="n"/>
      <c r="F24" s="37">
        <f>SUM(F17:F23)</f>
        <v/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6" customHeight="1">
      <c r="A25" s="1" t="n"/>
      <c r="B25" s="11" t="inlineStr">
        <is>
          <t>APRIL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6" customHeight="1">
      <c r="A26" s="1" t="n"/>
      <c r="B26" s="11" t="inlineStr">
        <is>
          <t>MAY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6" customHeight="1">
      <c r="A27" s="1" t="n"/>
      <c r="B27" s="11" t="inlineStr">
        <is>
          <t>JUNE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6" customHeight="1">
      <c r="A28" s="1" t="n"/>
      <c r="B28" s="11" t="inlineStr">
        <is>
          <t>JULY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6" customHeight="1">
      <c r="A29" s="1" t="n"/>
      <c r="B29" s="11" t="inlineStr">
        <is>
          <t>AUGUST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6" customHeight="1">
      <c r="A30" s="1" t="n"/>
      <c r="B30" s="11" t="inlineStr">
        <is>
          <t>SEPTEMBER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6" customHeight="1">
      <c r="A31" s="1" t="n"/>
      <c r="B31" s="11" t="inlineStr">
        <is>
          <t>OCTOBER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16" customHeight="1">
      <c r="A32" s="1" t="n"/>
      <c r="B32" s="11" t="inlineStr">
        <is>
          <t>NOVEMBER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16" customHeight="1">
      <c r="A33" s="1" t="n"/>
      <c r="B33" s="11" t="inlineStr">
        <is>
          <t>DECEMBER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16" customHeight="1">
      <c r="A34" s="1" t="n"/>
      <c r="B34" s="1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16" customHeight="1">
      <c r="A35" s="1" t="n"/>
      <c r="B35" s="7" t="inlineStr">
        <is>
          <t>TOOLS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16" customHeight="1">
      <c r="A36" s="1" t="n"/>
      <c r="B36" s="11" t="inlineStr">
        <is>
          <t>50-30-20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16" customHeight="1">
      <c r="A37" s="1" t="n"/>
      <c r="B37" s="11" t="inlineStr">
        <is>
          <t>EXPENSE DIST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16" customHeight="1">
      <c r="A38" s="1" t="n"/>
      <c r="B38" s="11" t="inlineStr">
        <is>
          <t>SINKING FUNDS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16" customHeight="1">
      <c r="A39" s="1" t="n"/>
      <c r="B39" s="11" t="inlineStr">
        <is>
          <t>DEBT CALC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16" customHeight="1">
      <c r="A40" s="1" t="n"/>
      <c r="B40" s="11" t="inlineStr">
        <is>
          <t>NET WORTH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16" customHeight="1">
      <c r="A41" s="1" t="n"/>
      <c r="B41" s="11" t="inlineStr">
        <is>
          <t>INVEST FORECAST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16" customHeight="1">
      <c r="A42" s="1" t="n"/>
      <c r="B42" s="9" t="inlineStr">
        <is>
          <t>NO-SPEND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16" customHeight="1">
      <c r="A43" s="1" t="n"/>
      <c r="B43" s="1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16" customHeight="1">
      <c r="A44" s="1" t="n"/>
      <c r="B44" s="1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16" customHeight="1">
      <c r="A45" s="1" t="n"/>
      <c r="B45" s="1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16" customHeight="1">
      <c r="A46" s="1" t="n"/>
      <c r="B46" s="1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16" customHeight="1">
      <c r="A47" s="1" t="n"/>
      <c r="B47" s="1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16" customHeight="1">
      <c r="A48" s="1" t="n"/>
      <c r="B48" s="1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16" customHeight="1">
      <c r="A49" s="1" t="n"/>
      <c r="B49" s="1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16" customHeight="1">
      <c r="A50" s="1" t="n"/>
      <c r="B50" s="1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16" customHeight="1">
      <c r="A51" s="1" t="n"/>
      <c r="B51" s="1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16" customHeight="1">
      <c r="A52" s="1" t="n"/>
      <c r="B52" s="1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16" customHeight="1">
      <c r="A53" s="1" t="n"/>
      <c r="B53" s="1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16" customHeight="1">
      <c r="A54" s="1" t="n"/>
      <c r="B54" s="1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16" customHeight="1">
      <c r="A55" s="1" t="n"/>
      <c r="B55" s="1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16" customHeight="1">
      <c r="A56" s="1" t="n"/>
      <c r="B56" s="1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16" customHeight="1">
      <c r="A57" s="1" t="n"/>
      <c r="B57" s="1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16" customHeight="1">
      <c r="A58" s="1" t="n"/>
      <c r="B58" s="1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16" customHeight="1">
      <c r="A59" s="1" t="n"/>
      <c r="B59" s="1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16" customHeight="1">
      <c r="A60" s="1" t="n"/>
      <c r="B60" s="1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16" customHeight="1">
      <c r="A61" s="1" t="n"/>
      <c r="B61" s="1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16" customHeight="1">
      <c r="A62" s="1" t="n"/>
      <c r="B62" s="1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16" customHeight="1">
      <c r="A63" s="1" t="n"/>
      <c r="B63" s="1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16" customHeight="1">
      <c r="A64" s="1" t="n"/>
      <c r="B64" s="1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16" customHeight="1">
      <c r="A65" s="1" t="n"/>
      <c r="B65" s="1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16" customHeight="1">
      <c r="A66" s="1" t="n"/>
      <c r="B66" s="1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16" customHeight="1">
      <c r="A67" s="1" t="n"/>
      <c r="B67" s="1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16" customHeight="1">
      <c r="A68" s="1" t="n"/>
      <c r="B68" s="1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16" customHeight="1">
      <c r="A69" s="1" t="n"/>
      <c r="B69" s="1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16" customHeight="1">
      <c r="A70" s="1" t="n"/>
      <c r="B70" s="1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16" customHeight="1">
      <c r="A71" s="1" t="n"/>
      <c r="B71" s="1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16" customHeight="1">
      <c r="A72" s="1" t="n"/>
      <c r="B72" s="1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16" customHeight="1">
      <c r="A73" s="1" t="n"/>
      <c r="B73" s="1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16" customHeight="1">
      <c r="A74" s="1" t="n"/>
      <c r="B74" s="1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16" customHeight="1">
      <c r="A75" s="1" t="n"/>
      <c r="B75" s="1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16" customHeight="1">
      <c r="A76" s="1" t="n"/>
      <c r="B76" s="1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16" customHeight="1">
      <c r="A77" s="1" t="n"/>
      <c r="B77" s="1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16" customHeight="1">
      <c r="A78" s="1" t="n"/>
      <c r="B78" s="1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16" customHeight="1">
      <c r="A79" s="1" t="n"/>
      <c r="B79" s="1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16" customHeight="1">
      <c r="A80" s="1" t="n"/>
      <c r="B80" s="1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16" customHeight="1">
      <c r="A81" s="1" t="n"/>
      <c r="B81" s="1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16" customHeight="1">
      <c r="A82" s="1" t="n"/>
      <c r="B82" s="1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16" customHeight="1">
      <c r="A83" s="1" t="n"/>
      <c r="B83" s="1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16" customHeight="1">
      <c r="A84" s="1" t="n"/>
      <c r="B84" s="1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16" customHeight="1">
      <c r="A85" s="1" t="n"/>
      <c r="B85" s="1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16" customHeight="1">
      <c r="A86" s="1" t="n"/>
      <c r="B86" s="1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16" customHeight="1">
      <c r="A87" s="1" t="n"/>
      <c r="B87" s="1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16" customHeight="1">
      <c r="A88" s="1" t="n"/>
      <c r="B88" s="1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16" customHeight="1">
      <c r="A89" s="1" t="n"/>
      <c r="B89" s="1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16" customHeight="1">
      <c r="A90" s="1" t="n"/>
      <c r="B90" s="1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16" customHeight="1">
      <c r="A91" s="1" t="n"/>
      <c r="B91" s="1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16" customHeight="1">
      <c r="A92" s="1" t="n"/>
      <c r="B92" s="1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16" customHeight="1">
      <c r="A93" s="1" t="n"/>
      <c r="B93" s="1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16" customHeight="1">
      <c r="A94" s="1" t="n"/>
      <c r="B94" s="1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16" customHeight="1">
      <c r="A95" s="1" t="n"/>
      <c r="B95" s="1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16" customHeight="1">
      <c r="A96" s="1" t="n"/>
      <c r="B96" s="1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16" customHeight="1">
      <c r="A97" s="1" t="n"/>
      <c r="B97" s="1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16" customHeight="1">
      <c r="A98" s="1" t="n"/>
      <c r="B98" s="1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16" customHeight="1">
      <c r="A99" s="1" t="n"/>
      <c r="B99" s="1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16" customHeight="1">
      <c r="A100" s="1" t="n"/>
      <c r="B100" s="1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16" customHeight="1">
      <c r="A101" s="1" t="n"/>
      <c r="B101" s="1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16" customHeight="1">
      <c r="A102" s="1" t="n"/>
      <c r="B102" s="1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16" customHeight="1">
      <c r="A103" s="1" t="n"/>
      <c r="B103" s="1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16" customHeight="1">
      <c r="A104" s="1" t="n"/>
      <c r="B104" s="1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16" customHeight="1">
      <c r="A105" s="1" t="n"/>
      <c r="B105" s="1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16" customHeight="1">
      <c r="A106" s="1" t="n"/>
      <c r="B106" s="1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16" customHeight="1">
      <c r="A107" s="1" t="n"/>
      <c r="B107" s="1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16" customHeight="1">
      <c r="A108" s="1" t="n"/>
      <c r="B108" s="1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16" customHeight="1">
      <c r="A109" s="1" t="n"/>
      <c r="B109" s="1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16" customHeight="1">
      <c r="A110" s="1" t="n"/>
      <c r="B110" s="1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16" customHeight="1">
      <c r="A111" s="1" t="n"/>
      <c r="B111" s="1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16" customHeight="1">
      <c r="A112" s="1" t="n"/>
      <c r="B112" s="1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16" customHeight="1">
      <c r="A113" s="1" t="n"/>
      <c r="B113" s="1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16" customHeight="1">
      <c r="A114" s="1" t="n"/>
      <c r="B114" s="1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16" customHeight="1">
      <c r="A115" s="1" t="n"/>
      <c r="B115" s="1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16" customHeight="1">
      <c r="A116" s="1" t="n"/>
      <c r="B116" s="1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16" customHeight="1">
      <c r="A117" s="1" t="n"/>
      <c r="B117" s="1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16" customHeight="1">
      <c r="A118" s="1" t="n"/>
      <c r="B118" s="1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16" customHeight="1">
      <c r="A119" s="1" t="n"/>
      <c r="B119" s="1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16" customHeight="1">
      <c r="A120" s="1" t="n"/>
      <c r="B120" s="1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</sheetData>
  <mergeCells count="3">
    <mergeCell ref="D6:E6"/>
    <mergeCell ref="D15:H15"/>
    <mergeCell ref="D5:K5"/>
  </mergeCells>
  <dataValidations count="1">
    <dataValidation sqref="G17:G25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6" r:id="rId23"/>
    <hyperlink xmlns:r="http://schemas.openxmlformats.org/officeDocument/2006/relationships" ref="B37" r:id="rId24"/>
    <hyperlink xmlns:r="http://schemas.openxmlformats.org/officeDocument/2006/relationships" ref="B38" r:id="rId25"/>
    <hyperlink xmlns:r="http://schemas.openxmlformats.org/officeDocument/2006/relationships" ref="B39" r:id="rId26"/>
    <hyperlink xmlns:r="http://schemas.openxmlformats.org/officeDocument/2006/relationships" ref="B40" r:id="rId27"/>
    <hyperlink xmlns:r="http://schemas.openxmlformats.org/officeDocument/2006/relationships" ref="B41" r:id="rId28"/>
    <hyperlink xmlns:r="http://schemas.openxmlformats.org/officeDocument/2006/relationships" ref="B42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2026-05-13T22:06:55Z</dcterms:created>
  <dcterms:modified xsi:type="dcterms:W3CDTF">2026-05-13T22:07:00Z</dcterms:modified>
</cp:coreProperties>
</file>